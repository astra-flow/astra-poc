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hengfeng/Documents/一汽集团/集团/"/>
    </mc:Choice>
  </mc:AlternateContent>
  <xr:revisionPtr revIDLastSave="0" documentId="13_ncr:1_{2199912E-6D2E-004D-BA74-B267C8853587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Token资源包报价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D28" i="1"/>
  <c r="H27" i="1"/>
  <c r="D27" i="1"/>
  <c r="H26" i="1"/>
  <c r="D26" i="1"/>
  <c r="H25" i="1"/>
  <c r="D25" i="1"/>
</calcChain>
</file>

<file path=xl/sharedStrings.xml><?xml version="1.0" encoding="utf-8"?>
<sst xmlns="http://schemas.openxmlformats.org/spreadsheetml/2006/main" count="151" uniqueCount="124">
  <si>
    <t>Token 资源包报价表</t>
  </si>
  <si>
    <t>供应商填写（红色黄色单元格为必填项）</t>
  </si>
  <si>
    <t>供应商名称</t>
  </si>
  <si>
    <t>联系人</t>
  </si>
  <si>
    <t>联系方式</t>
  </si>
  <si>
    <t>报价日期</t>
  </si>
  <si>
    <t>2026-07-03</t>
  </si>
  <si>
    <t>一、采购需求概况（采购方提供，供应商确认）</t>
  </si>
  <si>
    <t>使用人数</t>
  </si>
  <si>
    <t>约 400 人（研发团队）</t>
  </si>
  <si>
    <t>使用场景</t>
  </si>
  <si>
    <t>代码生成、PRD生成、架构图生成、测试脚本、基础软件开发、日志分析</t>
  </si>
  <si>
    <t>年度Token需求量</t>
  </si>
  <si>
    <t>约 1.8 万亿 Token（参考 DeepSeek V4、GLM 5.2 用量测算）</t>
  </si>
  <si>
    <t>人均月消耗</t>
  </si>
  <si>
    <t>约 3.5 亿 Token/人/月</t>
  </si>
  <si>
    <t>主力模型要求</t>
  </si>
  <si>
    <t>必须包含：DeepSeek、GLM</t>
  </si>
  <si>
    <t>计价单位</t>
  </si>
  <si>
    <t>统一按 百万Token 报价（元/百万Token），不接受 credit/积分等非标准计价方式</t>
  </si>
  <si>
    <t>二、模型单价报价（供应商填写）</t>
  </si>
  <si>
    <t>模型名称</t>
  </si>
  <si>
    <t>模型档位
(旗舰/轻量/代码)</t>
  </si>
  <si>
    <t>输入单价
(缓存命中)
元/百万Token</t>
  </si>
  <si>
    <t>输入单价
(缓存未命中)
元/百万Token</t>
  </si>
  <si>
    <t>输出单价
元/百万Token</t>
  </si>
  <si>
    <t>资源包类型
(套餐/阶梯/按量)</t>
  </si>
  <si>
    <t>资源包规格
(如10亿Token包)</t>
  </si>
  <si>
    <t>资源包价格
(元)</t>
  </si>
  <si>
    <t>折扣力度
(对比刊例价)</t>
  </si>
  <si>
    <t>备注</t>
  </si>
  <si>
    <t>1</t>
  </si>
  <si>
    <t>DeepSeek V4 (Pro)</t>
  </si>
  <si>
    <t>旗舰</t>
  </si>
  <si>
    <t>按量付费</t>
  </si>
  <si>
    <t>1M上下文/不分档</t>
  </si>
  <si>
    <t>—</t>
  </si>
  <si>
    <t>总参1.6T/激活49B，输出384K；官方目录价</t>
  </si>
  <si>
    <t>2</t>
  </si>
  <si>
    <t>DeepSeek V4 Flash</t>
  </si>
  <si>
    <t>轻量</t>
  </si>
  <si>
    <t>轻量MoE，1M上下文；官方目录价</t>
  </si>
  <si>
    <t>3</t>
  </si>
  <si>
    <t>GLM 5.2</t>
  </si>
  <si>
    <t>长任务旗舰(思考模式)，思维链128K；官方目录价</t>
  </si>
  <si>
    <t>4</t>
  </si>
  <si>
    <t>Qwen 3.7-Max</t>
  </si>
  <si>
    <t>智能体全能旗舰；官方目录价</t>
  </si>
  <si>
    <t>5</t>
  </si>
  <si>
    <t>主力多模态</t>
  </si>
  <si>
    <t>阶梯计费</t>
  </si>
  <si>
    <t>输入≤256K档</t>
  </si>
  <si>
    <t>≤256K档；&gt;256K档=输入6/命中1.2/输出24；官方目录价</t>
  </si>
  <si>
    <t>6</t>
  </si>
  <si>
    <t>Qwen 3.7-Max 资源包</t>
  </si>
  <si>
    <t>旗舰(套餐)</t>
  </si>
  <si>
    <t>资源包-套餐</t>
  </si>
  <si>
    <t>11.7亿 Token/1年</t>
  </si>
  <si>
    <t>官方五档最靠近10亿档；单价≈3.21元/百万Token</t>
  </si>
  <si>
    <t>三、年度总价测算（供应商填写）</t>
  </si>
  <si>
    <t>报价方案说明</t>
  </si>
  <si>
    <t>年度Token总量
(万亿)</t>
  </si>
  <si>
    <t>年度总价
(万元，含税)</t>
  </si>
  <si>
    <t>是否支持框架协议
(按金额签约/按量结算)</t>
  </si>
  <si>
    <t>套餐有效期</t>
  </si>
  <si>
    <t>是否支持结转</t>
  </si>
  <si>
    <t>超额后付费费率
(元/百万Token)</t>
  </si>
  <si>
    <t>不适用</t>
  </si>
  <si>
    <t>方案2</t>
  </si>
  <si>
    <t>方案3</t>
  </si>
  <si>
    <t>四、Credit换算说明（如供应商底层采用Credit计费，必填）</t>
  </si>
  <si>
    <t>Credit定义</t>
  </si>
  <si>
    <t>1 Credit = 多少 Token
(精确值，非区间)</t>
  </si>
  <si>
    <t>1 元 = 多少 Credit</t>
  </si>
  <si>
    <t>换算公式说明</t>
  </si>
  <si>
    <t>⚠ 重要说明</t>
  </si>
  <si>
    <t>② 10亿 Token 量级 = 10×1亿 = 10,000 百万 Token；下表所列"组合"均为最靠近10亿量级的官方档位组合。</t>
  </si>
  <si>
    <t>④ qwen-plus 资源包仅覆盖 ≤128K 输入、非思考模式；不含 Batch/上下文缓存/调优/部署费用。</t>
  </si>
  <si>
    <t>⑤ qwen-max / qwen-turbo 资源包仅覆盖非思考模式实时推理；不含 Batch/上下文缓存/调优/部署费用。</t>
  </si>
  <si>
    <t>⑥ 资源包超量部分自动转按量付费；有效期内未用完的部分到期作废，不支持结转。</t>
  </si>
  <si>
    <t>填写说明</t>
  </si>
  <si>
    <t>背景</t>
  </si>
  <si>
    <t>我司正在进行企业级AI平台Token资源包采购，需统一口径横向比价。</t>
  </si>
  <si>
    <t>统一按 百万Token 报价（元/百万Token），不接受 credit/积分等非标准计价方式。</t>
  </si>
  <si>
    <t>必填模型</t>
  </si>
  <si>
    <t>DeepSeek V4 (Pro)、DeepSeek V4 Flash、GLM 5.2 三款为必填，其他模型供应商自行补充。</t>
  </si>
  <si>
    <t>缓存命中</t>
  </si>
  <si>
    <t>输入单价请区分"缓存命中"和"缓存未命中"两档，DeepSeek官方即如此计价。</t>
  </si>
  <si>
    <t>资源包类型</t>
  </si>
  <si>
    <t>请分别提供套餐包、阶梯包、按量包三种形态的价格。</t>
  </si>
  <si>
    <t>年度总价</t>
  </si>
  <si>
    <t>请按年度1.8万亿Token需求测算总价（万元，含税），便于横向比价。</t>
  </si>
  <si>
    <t>框架协议</t>
  </si>
  <si>
    <t>是否支持"按年度金额签约、按实际消耗结算"的框架协议模式，请明确。</t>
  </si>
  <si>
    <t>Credit换算</t>
  </si>
  <si>
    <t>如底层采用Credit计费，第四节必填。1 Credit等于多少Token必须给精确值，不能给区间。</t>
  </si>
  <si>
    <t>时间要求</t>
  </si>
  <si>
    <t>请于 2026-07-03 下班前提供完整报价。</t>
  </si>
  <si>
    <t>如有疑问请联系采购方。</t>
  </si>
  <si>
    <t>③ 资源包不含 DeepSeek V4-Pro/V4-Flash、GLM 5.2、Qwen 3.7-Plus、Qwen 3.7-Max（新版）等模型；这些模型仅支持按量目录价。</t>
    <phoneticPr fontId="6" type="noConversion"/>
  </si>
  <si>
    <t>① 资源包为阿里云百炼官方目录价</t>
    <phoneticPr fontId="6" type="noConversion"/>
  </si>
  <si>
    <t>阿里云</t>
    <phoneticPr fontId="6" type="noConversion"/>
  </si>
  <si>
    <t>Qwen 3.7-Plus</t>
    <phoneticPr fontId="6" type="noConversion"/>
  </si>
  <si>
    <t>按实际用量结算</t>
  </si>
  <si>
    <t>不适用（按量付费）</t>
  </si>
  <si>
    <t>方案1A</t>
  </si>
  <si>
    <t>套餐包报价（客户原配比直接采购）：DS V4-Flash 54% + DS V4-Pro 28% + GLM 5.2 17% + Qwen 3.7-Plus 1%。</t>
    <phoneticPr fontId="6" type="noConversion"/>
  </si>
  <si>
    <t>按金额预付+按量核销</t>
  </si>
  <si>
    <t>1年（Qwen 资源包）；DS/GLM 部分按量</t>
  </si>
  <si>
    <t>资源包不结转；节省计划月度独立不累积</t>
  </si>
  <si>
    <t>方案1B</t>
  </si>
  <si>
    <t>套餐包报价（千问 3.7 系列等效替代方案 · 推荐）：Qwen 3.7-Plus 55%（替代 DS V4-Flash 轻量档54%+其他1%）+ Qwen 3.7-Max 45%（替代 DS V4-Pro 28%+GLM 5.2 17%），全量千问资源包锁定。</t>
  </si>
  <si>
    <t>套餐包预付；用完可续购</t>
  </si>
  <si>
    <t>Qwen-Max/Plus 资源包有效期 1 年（Plus 3/6/12 月可选）</t>
  </si>
  <si>
    <t>不支持结转；过期作废</t>
  </si>
  <si>
    <t>★推荐。替代关系：DS V4-Flash（0.95元轻量档）→ Qwen 3.7-Plus（1.04元/百万Tok资源包，主力多模态/轻量档）；DS V4-Pro 及 GLM 5.2（旗舰档）→ Qwen 3.7-Max（3.205元/百万Tok资源包，旗舰对标）</t>
    <phoneticPr fontId="6" type="noConversion"/>
  </si>
  <si>
    <t>阶梯包报价（AI 通用型节省计划 · 客户原配比）：（DS-Flash 54%+DS-Pro 28%+GLM 17%+其他 1%）承诺月消费签订 24 月/全预付节省计划。C类（DS/GLM）无折扣；A类（Qwen）按月承诺档位打折。</t>
    <phoneticPr fontId="6" type="noConversion"/>
  </si>
  <si>
    <t>月承诺金额签约，按量核销</t>
  </si>
  <si>
    <t>24 个月周期（月度独立额度，当月未用完清零）</t>
  </si>
  <si>
    <t>不可累积；单月未用完清零</t>
  </si>
  <si>
    <t>采用 AI 通用型节省计划 24 月/全预付，月承诺 30-100 万元档位：Qwen 商业版7 折；DeepSeek/GLM无折扣。因 99% 用量在无折扣 C 类，实际降本仅约 0.1%，几乎等同方案 3。</t>
    <phoneticPr fontId="6" type="noConversion"/>
  </si>
  <si>
    <t>按量付费报价（纯按量 · 客户原配比）：按官方目录价，DS V4-Flash 54% + DS V4-Pro 28% + GLM 5.2 17% + Qwen 3.7-Plus 1%，实际用量实际结算。</t>
  </si>
  <si>
    <t>DS V4-Flash 加权 0.95、DS V4-Pro 加权 10.875、GLM 5.2 加权 10.75、Qwen 3.7-Plus 加权 2.9（均按官方目录价，元/百万Token）。</t>
    <phoneticPr fontId="6" type="noConversion"/>
  </si>
  <si>
    <t>直接按原配比走"套餐包"，因 DS/GLM 无资源包、无节省计划折扣（C类），总价与纯按量几乎一致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</si>
</sst>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5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1"/>
      <name val="微软雅黑 Bold"/>
      <family val="3"/>
      <charset val="134"/>
    </font>
    <font>
      <b/>
      <sz val="11"/>
      <color theme="1"/>
      <name val="宋体"/>
      <family val="2"/>
      <scheme val="minor"/>
    </font>
    <font>
      <b/>
      <sz val="10"/>
      <color rgb="FFFF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FFF4E5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9" fillId="4" borderId="1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177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4" fontId="14" fillId="0" borderId="1" xfId="0" applyNumberFormat="1" applyFont="1" applyFill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zoomScale="108" zoomScaleNormal="125" workbookViewId="0">
      <selection activeCell="E25" sqref="E25"/>
    </sheetView>
  </sheetViews>
  <sheetFormatPr baseColWidth="10" defaultColWidth="8.83203125" defaultRowHeight="14"/>
  <cols>
    <col min="1" max="1" width="5.33203125" style="18" bestFit="1" customWidth="1"/>
    <col min="2" max="2" width="22.1640625" style="18" bestFit="1" customWidth="1"/>
    <col min="3" max="3" width="19.5" style="18" bestFit="1" customWidth="1"/>
    <col min="4" max="4" width="13.6640625" style="18" bestFit="1" customWidth="1"/>
    <col min="5" max="5" width="13" style="18" bestFit="1" customWidth="1"/>
    <col min="6" max="6" width="15.33203125" style="18" bestFit="1" customWidth="1"/>
    <col min="7" max="7" width="15" style="18" bestFit="1" customWidth="1"/>
    <col min="8" max="8" width="14" style="18" customWidth="1"/>
    <col min="9" max="9" width="18" style="18" customWidth="1"/>
    <col min="10" max="10" width="12.33203125" style="18" bestFit="1" customWidth="1"/>
    <col min="11" max="11" width="41.83203125" style="18" bestFit="1" customWidth="1"/>
    <col min="12" max="16384" width="8.83203125" style="18"/>
  </cols>
  <sheetData>
    <row r="1" spans="1:12">
      <c r="A1" s="14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>
      <c r="A2" s="15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 ht="51">
      <c r="A3" s="1" t="s">
        <v>2</v>
      </c>
      <c r="B3" s="24" t="s">
        <v>101</v>
      </c>
      <c r="C3" s="25"/>
      <c r="D3" s="1" t="s">
        <v>3</v>
      </c>
      <c r="E3" s="12"/>
      <c r="F3" s="19"/>
      <c r="G3" s="1" t="s">
        <v>4</v>
      </c>
      <c r="H3" s="12"/>
      <c r="I3" s="19"/>
      <c r="J3" s="1" t="s">
        <v>5</v>
      </c>
      <c r="K3" s="26" t="s">
        <v>6</v>
      </c>
      <c r="L3" s="27"/>
    </row>
    <row r="5" spans="1:12">
      <c r="A5" s="16" t="s">
        <v>7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2" ht="17">
      <c r="B6" s="2" t="s">
        <v>8</v>
      </c>
      <c r="C6" s="11" t="s">
        <v>9</v>
      </c>
      <c r="D6" s="20"/>
      <c r="E6" s="20"/>
      <c r="F6" s="20"/>
      <c r="G6" s="20"/>
      <c r="H6" s="20"/>
      <c r="I6" s="20"/>
      <c r="J6" s="20"/>
      <c r="K6" s="19"/>
    </row>
    <row r="7" spans="1:12" ht="17">
      <c r="B7" s="2" t="s">
        <v>10</v>
      </c>
      <c r="C7" s="11" t="s">
        <v>11</v>
      </c>
      <c r="D7" s="20"/>
      <c r="E7" s="20"/>
      <c r="F7" s="20"/>
      <c r="G7" s="20"/>
      <c r="H7" s="20"/>
      <c r="I7" s="20"/>
      <c r="J7" s="20"/>
      <c r="K7" s="19"/>
    </row>
    <row r="8" spans="1:12" ht="17">
      <c r="B8" s="2" t="s">
        <v>12</v>
      </c>
      <c r="C8" s="11" t="s">
        <v>13</v>
      </c>
      <c r="D8" s="20"/>
      <c r="E8" s="20"/>
      <c r="F8" s="20"/>
      <c r="G8" s="20"/>
      <c r="H8" s="20"/>
      <c r="I8" s="20"/>
      <c r="J8" s="20"/>
      <c r="K8" s="19"/>
    </row>
    <row r="9" spans="1:12" ht="17">
      <c r="B9" s="2" t="s">
        <v>14</v>
      </c>
      <c r="C9" s="11" t="s">
        <v>15</v>
      </c>
      <c r="D9" s="20"/>
      <c r="E9" s="20"/>
      <c r="F9" s="20"/>
      <c r="G9" s="20"/>
      <c r="H9" s="20"/>
      <c r="I9" s="20"/>
      <c r="J9" s="20"/>
      <c r="K9" s="19"/>
    </row>
    <row r="10" spans="1:12" ht="17">
      <c r="B10" s="2" t="s">
        <v>16</v>
      </c>
      <c r="C10" s="11" t="s">
        <v>17</v>
      </c>
      <c r="D10" s="20"/>
      <c r="E10" s="20"/>
      <c r="F10" s="20"/>
      <c r="G10" s="20"/>
      <c r="H10" s="20"/>
      <c r="I10" s="20"/>
      <c r="J10" s="20"/>
      <c r="K10" s="19"/>
    </row>
    <row r="11" spans="1:12" ht="17">
      <c r="B11" s="2" t="s">
        <v>18</v>
      </c>
      <c r="C11" s="11" t="s">
        <v>19</v>
      </c>
      <c r="D11" s="20"/>
      <c r="E11" s="20"/>
      <c r="F11" s="20"/>
      <c r="G11" s="20"/>
      <c r="H11" s="20"/>
      <c r="I11" s="20"/>
      <c r="J11" s="20"/>
      <c r="K11" s="19"/>
    </row>
    <row r="13" spans="1:12">
      <c r="A13" s="16" t="s">
        <v>20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51">
      <c r="A14" s="4"/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26</v>
      </c>
      <c r="H14" s="4" t="s">
        <v>27</v>
      </c>
      <c r="I14" s="4" t="s">
        <v>28</v>
      </c>
      <c r="J14" s="4" t="s">
        <v>29</v>
      </c>
      <c r="K14" s="4" t="s">
        <v>30</v>
      </c>
    </row>
    <row r="15" spans="1:12" ht="34">
      <c r="A15" s="5" t="s">
        <v>31</v>
      </c>
      <c r="B15" s="21" t="s">
        <v>32</v>
      </c>
      <c r="C15" s="23" t="s">
        <v>33</v>
      </c>
      <c r="D15" s="22">
        <v>1</v>
      </c>
      <c r="E15" s="22">
        <v>12</v>
      </c>
      <c r="F15" s="22">
        <v>24</v>
      </c>
      <c r="G15" s="22" t="s">
        <v>34</v>
      </c>
      <c r="H15" s="22" t="s">
        <v>35</v>
      </c>
      <c r="I15" s="22" t="s">
        <v>36</v>
      </c>
      <c r="J15" s="22" t="s">
        <v>36</v>
      </c>
      <c r="K15" s="22" t="s">
        <v>37</v>
      </c>
    </row>
    <row r="16" spans="1:12" ht="34">
      <c r="A16" s="5" t="s">
        <v>38</v>
      </c>
      <c r="B16" s="21" t="s">
        <v>39</v>
      </c>
      <c r="C16" s="23" t="s">
        <v>40</v>
      </c>
      <c r="D16" s="22">
        <v>0.2</v>
      </c>
      <c r="E16" s="22">
        <v>1</v>
      </c>
      <c r="F16" s="22">
        <v>2</v>
      </c>
      <c r="G16" s="22" t="s">
        <v>34</v>
      </c>
      <c r="H16" s="22" t="s">
        <v>35</v>
      </c>
      <c r="I16" s="22" t="s">
        <v>36</v>
      </c>
      <c r="J16" s="22" t="s">
        <v>36</v>
      </c>
      <c r="K16" s="22" t="s">
        <v>41</v>
      </c>
    </row>
    <row r="17" spans="1:11" ht="34">
      <c r="A17" s="5" t="s">
        <v>42</v>
      </c>
      <c r="B17" s="21" t="s">
        <v>43</v>
      </c>
      <c r="C17" s="23" t="s">
        <v>33</v>
      </c>
      <c r="D17" s="22">
        <v>2</v>
      </c>
      <c r="E17" s="22">
        <v>8</v>
      </c>
      <c r="F17" s="22">
        <v>28</v>
      </c>
      <c r="G17" s="22" t="s">
        <v>34</v>
      </c>
      <c r="H17" s="22" t="s">
        <v>35</v>
      </c>
      <c r="I17" s="22" t="s">
        <v>36</v>
      </c>
      <c r="J17" s="22" t="s">
        <v>36</v>
      </c>
      <c r="K17" s="22" t="s">
        <v>44</v>
      </c>
    </row>
    <row r="18" spans="1:11" ht="34">
      <c r="A18" s="5" t="s">
        <v>45</v>
      </c>
      <c r="B18" s="21" t="s">
        <v>46</v>
      </c>
      <c r="C18" s="22" t="s">
        <v>33</v>
      </c>
      <c r="D18" s="22">
        <v>2.4</v>
      </c>
      <c r="E18" s="22">
        <v>12</v>
      </c>
      <c r="F18" s="22">
        <v>36</v>
      </c>
      <c r="G18" s="22" t="s">
        <v>34</v>
      </c>
      <c r="H18" s="22" t="s">
        <v>35</v>
      </c>
      <c r="I18" s="22" t="s">
        <v>36</v>
      </c>
      <c r="J18" s="22" t="s">
        <v>36</v>
      </c>
      <c r="K18" s="22" t="s">
        <v>47</v>
      </c>
    </row>
    <row r="19" spans="1:11" ht="34">
      <c r="A19" s="5" t="s">
        <v>48</v>
      </c>
      <c r="B19" s="21" t="s">
        <v>102</v>
      </c>
      <c r="C19" s="22" t="s">
        <v>49</v>
      </c>
      <c r="D19" s="22">
        <v>0.4</v>
      </c>
      <c r="E19" s="22">
        <v>2</v>
      </c>
      <c r="F19" s="22">
        <v>8</v>
      </c>
      <c r="G19" s="22" t="s">
        <v>50</v>
      </c>
      <c r="H19" s="22" t="s">
        <v>51</v>
      </c>
      <c r="I19" s="22" t="s">
        <v>36</v>
      </c>
      <c r="J19" s="22" t="s">
        <v>36</v>
      </c>
      <c r="K19" s="22" t="s">
        <v>52</v>
      </c>
    </row>
    <row r="20" spans="1:11" ht="34">
      <c r="A20" s="5" t="s">
        <v>53</v>
      </c>
      <c r="B20" s="21" t="s">
        <v>54</v>
      </c>
      <c r="C20" s="22" t="s">
        <v>55</v>
      </c>
      <c r="D20" s="22" t="s">
        <v>36</v>
      </c>
      <c r="E20" s="22" t="s">
        <v>36</v>
      </c>
      <c r="F20" s="22" t="s">
        <v>36</v>
      </c>
      <c r="G20" s="22" t="s">
        <v>56</v>
      </c>
      <c r="H20" s="22" t="s">
        <v>57</v>
      </c>
      <c r="I20" s="22">
        <v>3750</v>
      </c>
      <c r="J20" s="22" t="s">
        <v>36</v>
      </c>
      <c r="K20" s="22" t="s">
        <v>58</v>
      </c>
    </row>
    <row r="21" spans="1:11" ht="16">
      <c r="A21" s="5"/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3" spans="1:11">
      <c r="A23" s="16" t="s">
        <v>59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ht="68">
      <c r="A24" s="4"/>
      <c r="B24" s="4" t="s">
        <v>60</v>
      </c>
      <c r="C24" s="4" t="s">
        <v>61</v>
      </c>
      <c r="D24" s="4" t="s">
        <v>62</v>
      </c>
      <c r="E24" s="4" t="s">
        <v>63</v>
      </c>
      <c r="F24" s="4" t="s">
        <v>64</v>
      </c>
      <c r="G24" s="4" t="s">
        <v>65</v>
      </c>
      <c r="H24" s="4" t="s">
        <v>66</v>
      </c>
      <c r="I24" s="4" t="s">
        <v>30</v>
      </c>
    </row>
    <row r="25" spans="1:11" ht="85">
      <c r="A25" s="7" t="s">
        <v>105</v>
      </c>
      <c r="B25" s="36" t="s">
        <v>106</v>
      </c>
      <c r="C25" s="29">
        <v>1.8</v>
      </c>
      <c r="D25" s="37">
        <f>(((D16*0.5+E16*0.5)*3+F16)/4*0.54 + ((D15*0.5+E15*0.5)*3+F15)/4*0.28 + ((D17*0.5+E17*0.5)*3+F17)/4*0.17 + 1.04*0.01)*C25*1000000/10000</f>
        <v>971.26200000000017</v>
      </c>
      <c r="E25" s="22" t="s">
        <v>107</v>
      </c>
      <c r="F25" s="22" t="s">
        <v>108</v>
      </c>
      <c r="G25" s="22" t="s">
        <v>109</v>
      </c>
      <c r="H25" s="30">
        <f>((D16*0.5+E16*0.5)*3+F16)/4*0.54 + ((D15*0.5+E15*0.5)*3+F15)/4*0.28 + ((D17*0.5+E17*0.5)*3+F17)/4*0.17 + 1.04*0.01</f>
        <v>5.3959000000000001</v>
      </c>
      <c r="I25" s="36" t="s">
        <v>123</v>
      </c>
      <c r="J25" s="22"/>
    </row>
    <row r="26" spans="1:11" ht="170">
      <c r="A26" s="7" t="s">
        <v>110</v>
      </c>
      <c r="B26" s="36" t="s">
        <v>111</v>
      </c>
      <c r="C26" s="29">
        <v>1.8</v>
      </c>
      <c r="D26" s="37">
        <f>(1.04*0.55 + 3.205*0.45)*C26*1000000/10000</f>
        <v>362.56500000000005</v>
      </c>
      <c r="E26" s="22" t="s">
        <v>112</v>
      </c>
      <c r="F26" s="22" t="s">
        <v>113</v>
      </c>
      <c r="G26" s="22" t="s">
        <v>114</v>
      </c>
      <c r="H26" s="30">
        <f>1.04*0.55 + 3.205*0.45</f>
        <v>2.0142500000000001</v>
      </c>
      <c r="I26" s="36" t="s">
        <v>115</v>
      </c>
      <c r="J26" s="22"/>
    </row>
    <row r="27" spans="1:11" ht="153">
      <c r="A27" s="7" t="s">
        <v>68</v>
      </c>
      <c r="B27" s="36" t="s">
        <v>116</v>
      </c>
      <c r="C27" s="29">
        <v>1.8</v>
      </c>
      <c r="D27" s="37">
        <f>(((D16*0.5+E16*0.5)*3+F16)/4*0.54 + ((D15*0.5+E15*0.5)*3+F15)/4*0.28 + ((D17*0.5+E17*0.5)*3+F17)/4*0.17 + ((D19*0.5+E19*0.5)*3+F19)/4*0.01*0.7)*C27*1000000/10000</f>
        <v>973.04399999999998</v>
      </c>
      <c r="E27" s="22" t="s">
        <v>117</v>
      </c>
      <c r="F27" s="22" t="s">
        <v>118</v>
      </c>
      <c r="G27" s="22" t="s">
        <v>119</v>
      </c>
      <c r="H27" s="30">
        <f>((D16*0.5+E16*0.5)*3+F16)/4*0.54 + ((D15*0.5+E15*0.5)*3+F15)/4*0.28 + ((D17*0.5+E17*0.5)*3+F17)/4*0.17 + ((D19*0.5+E19*0.5)*3+F19)/4*0.01*0.7</f>
        <v>5.4058000000000002</v>
      </c>
      <c r="I27" s="36" t="s">
        <v>120</v>
      </c>
      <c r="J27" s="22"/>
    </row>
    <row r="28" spans="1:11" ht="119">
      <c r="A28" s="7" t="s">
        <v>69</v>
      </c>
      <c r="B28" s="33" t="s">
        <v>121</v>
      </c>
      <c r="C28" s="34">
        <v>1.8</v>
      </c>
      <c r="D28" s="38">
        <f>(((D16*0.5+E16*0.5)*3+F16)/4*0.54 + ((D15*0.5+E15*0.5)*3+F15)/4*0.28 + ((D17*0.5+E17*0.5)*3+F17)/4*0.17 + ((D19*0.5+E19*0.5)*3+F19)/4*0.01)*C28*1000000/10000</f>
        <v>974.61</v>
      </c>
      <c r="E28" s="32" t="s">
        <v>103</v>
      </c>
      <c r="F28" s="32" t="s">
        <v>104</v>
      </c>
      <c r="G28" s="32" t="s">
        <v>67</v>
      </c>
      <c r="H28" s="35">
        <f>((D16*0.5+E16*0.5)*3+F16)/4*0.54 + ((D15*0.5+E15*0.5)*3+F15)/4*0.28 + ((D17*0.5+E17*0.5)*3+F17)/4*0.17 + ((D19*0.5+E19*0.5)*3+F19)/4*0.01</f>
        <v>5.4145000000000003</v>
      </c>
      <c r="I28" s="33" t="s">
        <v>122</v>
      </c>
      <c r="J28" s="31"/>
    </row>
    <row r="30" spans="1:11" ht="14" customHeight="1">
      <c r="A30" s="16" t="s">
        <v>70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34">
      <c r="A31" s="4"/>
      <c r="B31" s="4" t="s">
        <v>71</v>
      </c>
      <c r="C31" s="4" t="s">
        <v>72</v>
      </c>
      <c r="D31" s="4" t="s">
        <v>73</v>
      </c>
      <c r="E31" s="4" t="s">
        <v>74</v>
      </c>
    </row>
    <row r="32" spans="1:11" ht="16">
      <c r="A32" s="5" t="s">
        <v>31</v>
      </c>
      <c r="B32" s="6"/>
      <c r="C32" s="6"/>
      <c r="D32" s="6"/>
      <c r="E32" s="6"/>
      <c r="F32" s="28"/>
      <c r="G32" s="17"/>
      <c r="H32" s="17"/>
      <c r="I32" s="17"/>
      <c r="J32" s="17"/>
      <c r="K32" s="17"/>
    </row>
    <row r="33" spans="1:11" ht="16">
      <c r="A33" s="5" t="s">
        <v>38</v>
      </c>
      <c r="B33" s="6"/>
      <c r="C33" s="6"/>
      <c r="D33" s="6"/>
      <c r="E33" s="6"/>
      <c r="F33" s="28"/>
      <c r="G33" s="17"/>
      <c r="H33" s="17"/>
      <c r="I33" s="17"/>
      <c r="J33" s="17"/>
      <c r="K33" s="17"/>
    </row>
    <row r="34" spans="1:11" ht="16">
      <c r="A34" s="5" t="s">
        <v>42</v>
      </c>
      <c r="B34" s="6"/>
      <c r="C34" s="6"/>
      <c r="D34" s="6"/>
      <c r="E34" s="6"/>
      <c r="F34" s="28"/>
      <c r="G34" s="17"/>
      <c r="H34" s="17"/>
      <c r="I34" s="17"/>
      <c r="J34" s="17"/>
      <c r="K34" s="17"/>
    </row>
    <row r="36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9" spans="1:11" ht="14" customHeight="1">
      <c r="A39" s="13" t="s">
        <v>75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14" customHeight="1">
      <c r="A40" s="9" t="s">
        <v>100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ht="14" customHeight="1">
      <c r="A41" s="9" t="s">
        <v>76</v>
      </c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ht="14" customHeight="1">
      <c r="A42" s="9" t="s">
        <v>99</v>
      </c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ht="14" customHeight="1">
      <c r="A43" s="9" t="s">
        <v>77</v>
      </c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ht="14" customHeight="1">
      <c r="A44" s="9" t="s">
        <v>78</v>
      </c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14" customHeight="1">
      <c r="A45" s="9" t="s">
        <v>79</v>
      </c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t="1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</sheetData>
  <mergeCells count="28">
    <mergeCell ref="A36:K36"/>
    <mergeCell ref="F32:K32"/>
    <mergeCell ref="A30:K30"/>
    <mergeCell ref="A1:K1"/>
    <mergeCell ref="C11:K11"/>
    <mergeCell ref="C8:K8"/>
    <mergeCell ref="C7:K7"/>
    <mergeCell ref="A2:K2"/>
    <mergeCell ref="A5:K5"/>
    <mergeCell ref="A23:K23"/>
    <mergeCell ref="C6:K6"/>
    <mergeCell ref="H3:I3"/>
    <mergeCell ref="A46:K46"/>
    <mergeCell ref="F34:K34"/>
    <mergeCell ref="C10:K10"/>
    <mergeCell ref="B3:C3"/>
    <mergeCell ref="F33:K33"/>
    <mergeCell ref="C9:K9"/>
    <mergeCell ref="A39:K39"/>
    <mergeCell ref="A44:K44"/>
    <mergeCell ref="A43:K43"/>
    <mergeCell ref="A45:K45"/>
    <mergeCell ref="A13:K13"/>
    <mergeCell ref="E3:F3"/>
    <mergeCell ref="K3:L3"/>
    <mergeCell ref="A42:K42"/>
    <mergeCell ref="A41:K41"/>
    <mergeCell ref="A40:K40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167" zoomScaleNormal="167" workbookViewId="0">
      <selection activeCell="C12" sqref="C12"/>
    </sheetView>
  </sheetViews>
  <sheetFormatPr baseColWidth="10" defaultColWidth="8.83203125" defaultRowHeight="14"/>
  <cols>
    <col min="1" max="1" width="4" customWidth="1"/>
    <col min="2" max="2" width="30" customWidth="1"/>
    <col min="3" max="3" width="70" customWidth="1"/>
  </cols>
  <sheetData>
    <row r="1" spans="1:3" ht="30" customHeight="1">
      <c r="A1" s="14" t="s">
        <v>80</v>
      </c>
      <c r="B1" s="10"/>
      <c r="C1" s="10"/>
    </row>
    <row r="3" spans="1:3" ht="35" customHeight="1">
      <c r="B3" s="8" t="s">
        <v>81</v>
      </c>
      <c r="C3" s="3" t="s">
        <v>82</v>
      </c>
    </row>
    <row r="4" spans="1:3" ht="35" customHeight="1">
      <c r="B4" s="8" t="s">
        <v>18</v>
      </c>
      <c r="C4" s="3" t="s">
        <v>83</v>
      </c>
    </row>
    <row r="5" spans="1:3" ht="35" customHeight="1">
      <c r="B5" s="8" t="s">
        <v>84</v>
      </c>
      <c r="C5" s="3" t="s">
        <v>85</v>
      </c>
    </row>
    <row r="6" spans="1:3" ht="35" customHeight="1">
      <c r="B6" s="8" t="s">
        <v>86</v>
      </c>
      <c r="C6" s="3" t="s">
        <v>87</v>
      </c>
    </row>
    <row r="7" spans="1:3" ht="35" customHeight="1">
      <c r="B7" s="8" t="s">
        <v>88</v>
      </c>
      <c r="C7" s="3" t="s">
        <v>89</v>
      </c>
    </row>
    <row r="8" spans="1:3" ht="35" customHeight="1">
      <c r="B8" s="8" t="s">
        <v>90</v>
      </c>
      <c r="C8" s="3" t="s">
        <v>91</v>
      </c>
    </row>
    <row r="9" spans="1:3" ht="35" customHeight="1">
      <c r="B9" s="8" t="s">
        <v>92</v>
      </c>
      <c r="C9" s="3" t="s">
        <v>93</v>
      </c>
    </row>
    <row r="10" spans="1:3" ht="35" customHeight="1">
      <c r="B10" s="8" t="s">
        <v>94</v>
      </c>
      <c r="C10" s="3" t="s">
        <v>95</v>
      </c>
    </row>
    <row r="11" spans="1:3" ht="35" customHeight="1">
      <c r="B11" s="8" t="s">
        <v>96</v>
      </c>
      <c r="C11" s="3" t="s">
        <v>97</v>
      </c>
    </row>
    <row r="12" spans="1:3" ht="35" customHeight="1">
      <c r="B12" s="8" t="s">
        <v>3</v>
      </c>
      <c r="C12" s="3" t="s">
        <v>98</v>
      </c>
    </row>
  </sheetData>
  <mergeCells count="1">
    <mergeCell ref="A1:C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Token资源包报价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澄烽</cp:lastModifiedBy>
  <dcterms:created xsi:type="dcterms:W3CDTF">2026-07-03T08:04:03Z</dcterms:created>
  <dcterms:modified xsi:type="dcterms:W3CDTF">2026-07-03T11:45:08Z</dcterms:modified>
</cp:coreProperties>
</file>