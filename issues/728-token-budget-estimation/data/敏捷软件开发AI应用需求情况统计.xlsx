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uwei/workspace/astra-flow/poc/issues/728-token-budget-estimation/data/"/>
    </mc:Choice>
  </mc:AlternateContent>
  <xr:revisionPtr revIDLastSave="0" documentId="13_ncr:1_{FC60E625-982B-5D4C-8F89-4042A817061E}" xr6:coauthVersionLast="47" xr6:coauthVersionMax="47" xr10:uidLastSave="{00000000-0000-0000-0000-000000000000}"/>
  <bookViews>
    <workbookView xWindow="0" yWindow="660" windowWidth="30240" windowHeight="18980" activeTab="2" xr2:uid="{752BAC88-3D22-6345-9E5D-6A586CA68B77}"/>
  </bookViews>
  <sheets>
    <sheet name="应用产品" sheetId="1" r:id="rId1"/>
    <sheet name="基础软件" sheetId="3" r:id="rId2"/>
    <sheet name="其他业务" sheetId="4" r:id="rId3"/>
    <sheet name="产品功能列表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D9" i="4" s="1"/>
  <c r="B9" i="4"/>
  <c r="D3" i="4"/>
  <c r="D4" i="4"/>
  <c r="D5" i="4"/>
  <c r="D6" i="4"/>
  <c r="D7" i="4"/>
  <c r="D2" i="4"/>
  <c r="AA20" i="1"/>
  <c r="S20" i="1"/>
  <c r="T20" i="1"/>
  <c r="R20" i="1"/>
  <c r="G24" i="3"/>
  <c r="Z20" i="1"/>
  <c r="AG20" i="1"/>
  <c r="L20" i="1"/>
  <c r="F24" i="3"/>
  <c r="G23" i="3"/>
  <c r="N23" i="3"/>
  <c r="G22" i="3"/>
  <c r="N22" i="3"/>
  <c r="G21" i="3"/>
  <c r="N21" i="3"/>
  <c r="G20" i="3"/>
  <c r="N20" i="3"/>
  <c r="G19" i="3"/>
  <c r="N19" i="3"/>
  <c r="G18" i="3"/>
  <c r="N18" i="3"/>
  <c r="G17" i="3"/>
  <c r="N17" i="3"/>
  <c r="G16" i="3"/>
  <c r="N16" i="3"/>
  <c r="G15" i="3"/>
  <c r="N15" i="3"/>
  <c r="G14" i="3"/>
  <c r="N14" i="3"/>
  <c r="G13" i="3"/>
  <c r="N13" i="3"/>
  <c r="G12" i="3"/>
  <c r="N12" i="3"/>
  <c r="G11" i="3"/>
  <c r="N11" i="3"/>
  <c r="G10" i="3"/>
  <c r="N10" i="3"/>
  <c r="G9" i="3"/>
  <c r="N9" i="3"/>
  <c r="G8" i="3"/>
  <c r="N8" i="3"/>
  <c r="G7" i="3"/>
  <c r="N7" i="3"/>
  <c r="G6" i="3"/>
  <c r="N6" i="3"/>
  <c r="G5" i="3"/>
  <c r="N5" i="3"/>
  <c r="G4" i="3"/>
  <c r="N4" i="3"/>
  <c r="G3" i="3"/>
  <c r="N3" i="3"/>
  <c r="AH18" i="1"/>
  <c r="AA18" i="1"/>
  <c r="T18" i="1"/>
  <c r="M18" i="1"/>
  <c r="AH17" i="1"/>
  <c r="AA17" i="1"/>
  <c r="T17" i="1"/>
  <c r="M17" i="1"/>
  <c r="AH16" i="1"/>
  <c r="AA16" i="1"/>
  <c r="T16" i="1"/>
  <c r="M16" i="1"/>
  <c r="AH15" i="1"/>
  <c r="AA15" i="1"/>
  <c r="T15" i="1"/>
  <c r="M15" i="1"/>
  <c r="AH14" i="1"/>
  <c r="AA14" i="1"/>
  <c r="T14" i="1"/>
  <c r="M14" i="1"/>
  <c r="AH13" i="1"/>
  <c r="AA13" i="1"/>
  <c r="T13" i="1"/>
  <c r="M13" i="1"/>
  <c r="AH12" i="1"/>
  <c r="AA12" i="1"/>
  <c r="T12" i="1"/>
  <c r="M12" i="1"/>
  <c r="AH11" i="1"/>
  <c r="AA11" i="1"/>
  <c r="T11" i="1"/>
  <c r="M11" i="1"/>
  <c r="AH10" i="1"/>
  <c r="AA10" i="1"/>
  <c r="T10" i="1"/>
  <c r="M10" i="1"/>
  <c r="AH9" i="1"/>
  <c r="AA9" i="1"/>
  <c r="T9" i="1"/>
  <c r="M9" i="1"/>
  <c r="AH8" i="1"/>
  <c r="AA8" i="1"/>
  <c r="T8" i="1"/>
  <c r="M8" i="1"/>
  <c r="AH7" i="1"/>
  <c r="AA7" i="1"/>
  <c r="T7" i="1"/>
  <c r="M7" i="1"/>
  <c r="AH6" i="1"/>
  <c r="AA6" i="1"/>
  <c r="T6" i="1"/>
  <c r="M6" i="1"/>
  <c r="AH5" i="1"/>
  <c r="AA5" i="1"/>
  <c r="T5" i="1"/>
  <c r="M5" i="1"/>
  <c r="AH4" i="1"/>
  <c r="AA4" i="1"/>
  <c r="T4" i="1"/>
  <c r="M4" i="1"/>
  <c r="AH3" i="1"/>
  <c r="AA3" i="1"/>
  <c r="T3" i="1"/>
  <c r="M3" i="1"/>
  <c r="M20" i="1" l="1"/>
  <c r="AH20" i="1"/>
</calcChain>
</file>

<file path=xl/sharedStrings.xml><?xml version="1.0" encoding="utf-8"?>
<sst xmlns="http://schemas.openxmlformats.org/spreadsheetml/2006/main" count="556" uniqueCount="335">
  <si>
    <t>序号</t>
  </si>
  <si>
    <t>产品线</t>
  </si>
  <si>
    <t>产品一级功能数量</t>
  </si>
  <si>
    <t>产品二级功能数量</t>
  </si>
  <si>
    <t>产品三级功能数量</t>
  </si>
  <si>
    <t>是否AI生成</t>
  </si>
  <si>
    <t>使用率</t>
  </si>
  <si>
    <t>AI模型具体名称</t>
  </si>
  <si>
    <t>费用情况
（元/月）</t>
  </si>
  <si>
    <t>使用人数</t>
  </si>
  <si>
    <t>每月总费用（费用情况×使用人数）</t>
  </si>
  <si>
    <t>生成采用率</t>
  </si>
  <si>
    <t>每月总费用
（费用情况×使用人数）</t>
  </si>
  <si>
    <t>系统模块</t>
  </si>
  <si>
    <t>是否AI分析</t>
  </si>
  <si>
    <t>是否AI</t>
  </si>
  <si>
    <t>出行</t>
  </si>
  <si>
    <t>部分</t>
  </si>
  <si>
    <t>deepseek-v4-pro</t>
  </si>
  <si>
    <t>"架构图和时序图部分
AI建议方案
AI检查架构设计异常处理策略"</t>
  </si>
  <si>
    <t>Gemini</t>
  </si>
  <si>
    <t>Doubao-Seed-2.0-Code</t>
  </si>
  <si>
    <t>Duubao-Seed-Code</t>
  </si>
  <si>
    <t>Android Framework</t>
  </si>
  <si>
    <t>是</t>
  </si>
  <si>
    <t>deepseek v4 pro
Qwen3.7 Max
GLM5.2</t>
  </si>
  <si>
    <t>音频</t>
  </si>
  <si>
    <t>deepseekv4
Qwen</t>
  </si>
  <si>
    <t>以太网</t>
  </si>
  <si>
    <t>deepseek v4 pro
Qwen3.7 Max
GLM5.3</t>
  </si>
  <si>
    <t>生态云产品</t>
  </si>
  <si>
    <t>deepseekv4 pro</t>
  </si>
  <si>
    <t>Qwen3系列</t>
  </si>
  <si>
    <t>deepseekv4</t>
  </si>
  <si>
    <t>WIFI</t>
  </si>
  <si>
    <t>deepseek v4 pro
Qwen3.7 Max
GLM5.4</t>
  </si>
  <si>
    <t>视频</t>
  </si>
  <si>
    <t>蓝牙</t>
  </si>
  <si>
    <t>deepseek v4 pro
Qwen3.7 Max
GLM5.5</t>
  </si>
  <si>
    <t>生态</t>
  </si>
  <si>
    <t>架构图和时序图部分
AI建议方案
AI检查架构设计异常处理策略</t>
  </si>
  <si>
    <t>deepseekv4 pro
Chatgpt</t>
  </si>
  <si>
    <t>手车互联</t>
  </si>
  <si>
    <t>deepseek v4 pro
Qwen3.7 Max
GLM5.6</t>
  </si>
  <si>
    <t>账号</t>
  </si>
  <si>
    <t>Qoder，Codex</t>
  </si>
  <si>
    <t>Camera</t>
  </si>
  <si>
    <t>deepseek v4 pro
Qwen3.7 Max
GLM5.7</t>
  </si>
  <si>
    <t>语音</t>
  </si>
  <si>
    <t>deepseekv4
Qwen
Codex</t>
  </si>
  <si>
    <t>Audio</t>
  </si>
  <si>
    <t>deepseek v4 pro
Qwen3.7 Max
GLM5.8</t>
  </si>
  <si>
    <t>智驾可视化</t>
  </si>
  <si>
    <t>架构图和时序图部分
AI建议方案
架构润色、文档组织</t>
  </si>
  <si>
    <t>deepseekv4 pro
ClaueCode</t>
  </si>
  <si>
    <t>deepseek-v4-pro
minMax-M2.7
Qwen3.7plus</t>
  </si>
  <si>
    <t>无</t>
  </si>
  <si>
    <t>Display</t>
  </si>
  <si>
    <t>deepseek v4 pro
Qwen3.7 Max
GLM5.9</t>
  </si>
  <si>
    <t>推荐</t>
  </si>
  <si>
    <t>Qwen系列</t>
  </si>
  <si>
    <t>电源管理</t>
  </si>
  <si>
    <t>deepseek v4 pro
Qwen3.7 Max
GLM5.10</t>
  </si>
  <si>
    <t>本地应用</t>
  </si>
  <si>
    <t>"架构图和时序图部分
AI建议方案
架构润色、文档组织"</t>
  </si>
  <si>
    <t>GML 5.1
Deepseek V4
Kimi 2.7</t>
  </si>
  <si>
    <t>Linux中间件</t>
  </si>
  <si>
    <t>deepseek v4 pro
Qwen3.7 Max
GLM5.11</t>
  </si>
  <si>
    <t>桌面</t>
  </si>
  <si>
    <t>千问</t>
  </si>
  <si>
    <t>deepseekv4 pro
clauecode</t>
  </si>
  <si>
    <t>Qnx中间件</t>
  </si>
  <si>
    <t>deepseek v4 pro
Qwen3.7 Max
GLM5.12</t>
  </si>
  <si>
    <t>手机互联</t>
  </si>
  <si>
    <t>Android中间件</t>
  </si>
  <si>
    <t>deepseek v4 pro
Qwen3.7 Max
GLM5.13</t>
  </si>
  <si>
    <t>智能体小程序</t>
  </si>
  <si>
    <t>Vidieo</t>
  </si>
  <si>
    <t>deepseek v4 pro
Qwen3.7 Max
GLM5.14</t>
  </si>
  <si>
    <t>场景模式</t>
  </si>
  <si>
    <t>设备驱动</t>
  </si>
  <si>
    <t>deepseek v4 pro
Qwen3.7 Max
GLM5.15</t>
  </si>
  <si>
    <t>仪表</t>
  </si>
  <si>
    <t>DeepSeek
ClaudeCode</t>
  </si>
  <si>
    <t>诊断</t>
  </si>
  <si>
    <t>deepseek v4 pro
Qwen3.7 Max
GLM5.16</t>
  </si>
  <si>
    <t>数据产品</t>
  </si>
  <si>
    <t>"架构图和数据流图部分
AI建议方案
AI检查架构设计异常处理策略"</t>
  </si>
  <si>
    <t>-</t>
  </si>
  <si>
    <t>OTA</t>
  </si>
  <si>
    <t>deepseek v4 pro
Qwen3.7 Max
GLM5.17</t>
  </si>
  <si>
    <t>功能安全</t>
  </si>
  <si>
    <t>deepseek v4 pro
Qwen3.7 Max
GLM5.18</t>
  </si>
  <si>
    <t>信息安全</t>
  </si>
  <si>
    <t>deepseek v4 pro
Qwen3.7 Max
GLM5.19</t>
  </si>
  <si>
    <t>系统基础服务</t>
  </si>
  <si>
    <t>deepseek v4 pro
Qwen3.7 Max
GLM5.20</t>
  </si>
  <si>
    <t>内核&amp;稳定性</t>
  </si>
  <si>
    <t>deepseek v4 pro
Qwen3.7 Max
GLM5.21</t>
  </si>
  <si>
    <t>MCU</t>
  </si>
  <si>
    <t>deepseek v4 pro
Qwen3.7 Max
GLM5.22</t>
  </si>
  <si>
    <t>产品一级功能</t>
  </si>
  <si>
    <t>01出行</t>
  </si>
  <si>
    <t>01-地图渲染</t>
  </si>
  <si>
    <t>02-地图匹配</t>
  </si>
  <si>
    <t>03-地图检索</t>
  </si>
  <si>
    <t>04-路径规划</t>
  </si>
  <si>
    <t>05-地图巡航</t>
  </si>
  <si>
    <t>06-地图导航</t>
  </si>
  <si>
    <t>07-路况信息</t>
  </si>
  <si>
    <t>08-地图设置</t>
  </si>
  <si>
    <t>09-出行框架</t>
  </si>
  <si>
    <t>10-无缝出行</t>
  </si>
  <si>
    <t>11-智能导航</t>
  </si>
  <si>
    <t>12-新能源地图</t>
  </si>
  <si>
    <t>13-天气服务</t>
  </si>
  <si>
    <t>15-仪表地图</t>
  </si>
  <si>
    <t>16-HUD地图</t>
  </si>
  <si>
    <t>17-副驾后排屏</t>
  </si>
  <si>
    <t>19-指标看板</t>
  </si>
  <si>
    <t>20-车道级导航</t>
  </si>
  <si>
    <t>22-地图埋点</t>
  </si>
  <si>
    <t>23-美团应用</t>
  </si>
  <si>
    <t>25-组队出行</t>
  </si>
  <si>
    <t>31-越野APP</t>
  </si>
  <si>
    <t>32-灵动转向</t>
  </si>
  <si>
    <t>02音频</t>
  </si>
  <si>
    <t>00音频框架</t>
  </si>
  <si>
    <t>01QQ音乐</t>
  </si>
  <si>
    <t>02收音机</t>
  </si>
  <si>
    <t>03蓝牙音乐</t>
  </si>
  <si>
    <t>05喜马拉雅</t>
  </si>
  <si>
    <t>06酷我音乐</t>
  </si>
  <si>
    <t>07U盘音乐</t>
  </si>
  <si>
    <t>08网易云音乐</t>
  </si>
  <si>
    <t>03生态云产品</t>
  </si>
  <si>
    <t>01生态运营门户</t>
  </si>
  <si>
    <t>02消息推送平台</t>
  </si>
  <si>
    <t>03应用市场管理平台</t>
  </si>
  <si>
    <t>04服务编码平台</t>
  </si>
  <si>
    <t>05电子手册管理平台</t>
  </si>
  <si>
    <t>06数据安全管理</t>
  </si>
  <si>
    <t>07音频</t>
  </si>
  <si>
    <t>08视频</t>
  </si>
  <si>
    <t>09出行</t>
  </si>
  <si>
    <t>10远程控制</t>
  </si>
  <si>
    <t>11账号</t>
  </si>
  <si>
    <t>12智能场景运营平台</t>
  </si>
  <si>
    <t>13禁区逃生智能体</t>
  </si>
  <si>
    <t>14桌面大师卡片</t>
  </si>
  <si>
    <t>15智能体集市</t>
  </si>
  <si>
    <t>03视频</t>
  </si>
  <si>
    <t>05在线视频</t>
  </si>
  <si>
    <t>07乐拍</t>
  </si>
  <si>
    <t>08后排影像</t>
  </si>
  <si>
    <t>09哨兵模式</t>
  </si>
  <si>
    <t>10后排遗忘提醒</t>
  </si>
  <si>
    <t>11旗影</t>
  </si>
  <si>
    <t>12停车拍照</t>
  </si>
  <si>
    <t>04生态</t>
  </si>
  <si>
    <t>产线OTA</t>
  </si>
  <si>
    <t>系统升级</t>
  </si>
  <si>
    <t>运营资源更新</t>
  </si>
  <si>
    <t>01应用市场</t>
  </si>
  <si>
    <t>04用车指南</t>
  </si>
  <si>
    <t>05浏览器</t>
  </si>
  <si>
    <t>06健康检测</t>
  </si>
  <si>
    <t>08系统清理</t>
  </si>
  <si>
    <t>09红旗展示厅</t>
  </si>
  <si>
    <t>11红旗遥控器</t>
  </si>
  <si>
    <t>12随行互联</t>
  </si>
  <si>
    <t>13车载微信</t>
  </si>
  <si>
    <t>05账号</t>
  </si>
  <si>
    <t>01激活</t>
  </si>
  <si>
    <t>02数据安全</t>
  </si>
  <si>
    <t>03个人中心</t>
  </si>
  <si>
    <t>04登录</t>
  </si>
  <si>
    <t>06FEEA 3.0个性化四项功能</t>
  </si>
  <si>
    <t>08新用户引导</t>
  </si>
  <si>
    <t>09试驾模式</t>
  </si>
  <si>
    <t>10人脸识别</t>
  </si>
  <si>
    <t>11车辆模式</t>
  </si>
  <si>
    <t>07语音</t>
  </si>
  <si>
    <t>账号多模融合（1.5&amp;2.0）</t>
  </si>
  <si>
    <t>数智人（1.0&amp;1.5&amp;2.0）</t>
  </si>
  <si>
    <t>AI桌面（2.0）</t>
  </si>
  <si>
    <t>座舱问答（1.5&amp;2.0）</t>
  </si>
  <si>
    <t>端到端闲聊（1.5&amp;2.0）</t>
  </si>
  <si>
    <t>情感陪伴（1.0&amp;1.5&amp;2.0）</t>
  </si>
  <si>
    <t>创作助手（2.0）</t>
  </si>
  <si>
    <t>用车助手（1.0&amp;1.5）</t>
  </si>
  <si>
    <t>百科助手（1.0&amp;1.5&amp;2.0）</t>
  </si>
  <si>
    <t>手势融合（1.0&amp;1.5）</t>
  </si>
  <si>
    <t>图文助手（1.0&amp;1.5&amp;2.0）</t>
  </si>
  <si>
    <t>舱内视觉CV（1.0&amp;1.5&amp;2.0）</t>
  </si>
  <si>
    <t>舱内视觉（1.5&amp;2.0）</t>
  </si>
  <si>
    <t>娱乐助手（1.0&amp;1.5）</t>
  </si>
  <si>
    <t>记忆（2.0）</t>
  </si>
  <si>
    <t>导航助手（1.0&amp;1.5&amp;2.0）</t>
  </si>
  <si>
    <t>舱外视觉（1.5&amp;2.0）</t>
  </si>
  <si>
    <t>隔窗对讲（2.0）</t>
  </si>
  <si>
    <t>场景助手（1.0&amp;1.5）</t>
  </si>
  <si>
    <t>场景助手（2.0）</t>
  </si>
  <si>
    <t>语言生成（2.0）</t>
  </si>
  <si>
    <t>控车助手（1.0&amp;1.5）</t>
  </si>
  <si>
    <t>车家语音互通</t>
  </si>
  <si>
    <t>车讲车</t>
  </si>
  <si>
    <t>语音设置（1.0&amp;2.0）</t>
  </si>
  <si>
    <t>语音控驾</t>
  </si>
  <si>
    <t>基础意图（1.0&amp;1.5）</t>
  </si>
  <si>
    <t>对话意图（2.0）</t>
  </si>
  <si>
    <t>对话管理（1.0&amp;1.5）</t>
  </si>
  <si>
    <t>IP形象（1.0&amp;1.5&amp;2.0）</t>
  </si>
  <si>
    <t>娱乐（1.0&amp;1.5）</t>
  </si>
  <si>
    <t>娱乐（2.0）</t>
  </si>
  <si>
    <t>导航（1.0&amp;1.5）</t>
  </si>
  <si>
    <t>导航（2.0）</t>
  </si>
  <si>
    <t>车外语音（2.0）</t>
  </si>
  <si>
    <t>乐拍（1.0&amp;1.5）</t>
  </si>
  <si>
    <t>乐拍（2.0）</t>
  </si>
  <si>
    <t>可见即可说（1.0&amp;1.5&amp;2.0）</t>
  </si>
  <si>
    <t>语音系统控制（1.0&amp;1.5）</t>
  </si>
  <si>
    <t>语音系统控制（2.0）</t>
  </si>
  <si>
    <t>电话-灵犀（2.0）</t>
  </si>
  <si>
    <t>电话（1.0&amp;1.5）</t>
  </si>
  <si>
    <t>TTS文案（1.0&amp;1.5）</t>
  </si>
  <si>
    <t>语音车控（1.0&amp;1.5）</t>
  </si>
  <si>
    <t>语音车控（2.0）</t>
  </si>
  <si>
    <t>天气（1.0&amp;1.5&amp;2.0）</t>
  </si>
  <si>
    <t>车载微信（2.0）</t>
  </si>
  <si>
    <t>08-智驾可视化及3D数字车</t>
  </si>
  <si>
    <t>01-空间桌面</t>
  </si>
  <si>
    <t>02-行车辅助可视化</t>
  </si>
  <si>
    <t>03-泊车辅助可视化</t>
  </si>
  <si>
    <t>04-3D数字车孪生</t>
  </si>
  <si>
    <t>05-跨屏幕智驾可视化</t>
  </si>
  <si>
    <t>06-一镜到底</t>
  </si>
  <si>
    <t>07-3D数字车外观自定义</t>
  </si>
  <si>
    <t>08-智驾彩蛋</t>
  </si>
  <si>
    <t>09-AI生成式数字车衣</t>
  </si>
  <si>
    <t>09推荐</t>
  </si>
  <si>
    <t>01推荐框架</t>
  </si>
  <si>
    <t>02推荐技能</t>
  </si>
  <si>
    <t>03数据埋点</t>
  </si>
  <si>
    <t>04数据看板</t>
  </si>
  <si>
    <t>05推荐运营平台</t>
  </si>
  <si>
    <t>06用户感知平台</t>
  </si>
  <si>
    <t>10本地应用</t>
  </si>
  <si>
    <t>捷通输入法</t>
  </si>
  <si>
    <t>搜狗输入法</t>
  </si>
  <si>
    <t>02USB功能</t>
  </si>
  <si>
    <t>04系统声音</t>
  </si>
  <si>
    <t>05空调功能</t>
  </si>
  <si>
    <t>07图库</t>
  </si>
  <si>
    <t>09Ecall&amp;Icall</t>
  </si>
  <si>
    <t>10系统设置</t>
  </si>
  <si>
    <t>11蓝牙电话</t>
  </si>
  <si>
    <t>12驾驶设置</t>
  </si>
  <si>
    <t>13工程模式</t>
  </si>
  <si>
    <t>14行车记录仪</t>
  </si>
  <si>
    <t>15-全景影像</t>
  </si>
  <si>
    <t>17消息中心</t>
  </si>
  <si>
    <t>18能量设置</t>
  </si>
  <si>
    <t>21电子后视镜</t>
  </si>
  <si>
    <t>22倒车影像</t>
  </si>
  <si>
    <t>22我的车辆</t>
  </si>
  <si>
    <t>15桌面及框架</t>
  </si>
  <si>
    <t>01-中控屏 主交互</t>
  </si>
  <si>
    <t>02-系统桌面</t>
  </si>
  <si>
    <t>03-中控屏 Dock</t>
  </si>
  <si>
    <t>04-桌面卡片</t>
  </si>
  <si>
    <t>05-中控屏 状态栏</t>
  </si>
  <si>
    <t>06-中控屏 快捷控制</t>
  </si>
  <si>
    <t>09-副驾屏</t>
  </si>
  <si>
    <t>10-后排屏</t>
  </si>
  <si>
    <t>11-主题应用</t>
  </si>
  <si>
    <t>12-方控按键</t>
  </si>
  <si>
    <t>14-开机流程</t>
  </si>
  <si>
    <t>15-灵犀岛</t>
  </si>
  <si>
    <t>18-商务舱车控</t>
  </si>
  <si>
    <t>19-中控台自定义按键功能</t>
  </si>
  <si>
    <t>16互联互通</t>
  </si>
  <si>
    <t>01HiCar</t>
  </si>
  <si>
    <t>02Carlink</t>
  </si>
  <si>
    <t>03无线CarPlay</t>
  </si>
  <si>
    <t>04无线投屏</t>
  </si>
  <si>
    <t>06无线AA</t>
  </si>
  <si>
    <t>07有线投屏（互联盒子方案）</t>
  </si>
  <si>
    <t>07有线投屏（原生DP方案）</t>
  </si>
  <si>
    <t>18智能体&amp;小程序</t>
  </si>
  <si>
    <t>01支付宝小程序</t>
  </si>
  <si>
    <t>02支付宝智慧助手智能体</t>
  </si>
  <si>
    <t>03微信小程序</t>
  </si>
  <si>
    <t>04腾讯智慧助手智能体</t>
  </si>
  <si>
    <t>05三方智能体&amp;小程序埋点与看板</t>
  </si>
  <si>
    <t>19场景模式</t>
  </si>
  <si>
    <t>沉浸式场景</t>
  </si>
  <si>
    <t>日历</t>
  </si>
  <si>
    <t>智能场景埋点</t>
  </si>
  <si>
    <t>智能场景指标看板</t>
  </si>
  <si>
    <t>智能场景</t>
  </si>
  <si>
    <t>01埋点需求</t>
  </si>
  <si>
    <t>02埋点平台</t>
  </si>
  <si>
    <t>03数据分析</t>
  </si>
  <si>
    <t>01基础信息</t>
  </si>
  <si>
    <t>02多功能菜单信息</t>
  </si>
  <si>
    <t>03报警指示灯&amp;通知提示</t>
  </si>
  <si>
    <t>04多屏互动</t>
  </si>
  <si>
    <t>05充/放电信息</t>
  </si>
  <si>
    <t>15信号外发</t>
  </si>
  <si>
    <t>16Lastmode</t>
  </si>
  <si>
    <t>17埋点</t>
  </si>
  <si>
    <t>18高级驾驶辅助</t>
  </si>
  <si>
    <t>功能模块</t>
    <phoneticPr fontId="1" type="noConversion"/>
  </si>
  <si>
    <t>综合业务</t>
    <phoneticPr fontId="1" type="noConversion"/>
  </si>
  <si>
    <t>PRD及HMI成图</t>
    <phoneticPr fontId="1" type="noConversion"/>
  </si>
  <si>
    <t>架构设计文档生成</t>
    <phoneticPr fontId="1" type="noConversion"/>
  </si>
  <si>
    <t>代码生成</t>
    <phoneticPr fontId="1" type="noConversion"/>
  </si>
  <si>
    <t>每月总费用
（费用情况×使用人数）</t>
    <phoneticPr fontId="1" type="noConversion"/>
  </si>
  <si>
    <t>自动化测试脚本</t>
    <phoneticPr fontId="1" type="noConversion"/>
  </si>
  <si>
    <t>生成采用率
（单个文档生成后采用率）</t>
    <phoneticPr fontId="1" type="noConversion"/>
  </si>
  <si>
    <t>Token消耗量
（M/人/每月）</t>
  </si>
  <si>
    <t>Token消耗量
（M/月/人）</t>
  </si>
  <si>
    <t>基础软件开发</t>
    <phoneticPr fontId="1" type="noConversion"/>
  </si>
  <si>
    <t>日志分析</t>
    <phoneticPr fontId="1" type="noConversion"/>
  </si>
  <si>
    <t>软件研发管控</t>
    <phoneticPr fontId="1" type="noConversion"/>
  </si>
  <si>
    <t>人力</t>
    <phoneticPr fontId="1" type="noConversion"/>
  </si>
  <si>
    <t>质量与运营</t>
    <phoneticPr fontId="1" type="noConversion"/>
  </si>
  <si>
    <t>人数</t>
    <phoneticPr fontId="1" type="noConversion"/>
  </si>
  <si>
    <t>配置管控</t>
    <phoneticPr fontId="1" type="noConversion"/>
  </si>
  <si>
    <t>质量管控</t>
    <phoneticPr fontId="1" type="noConversion"/>
  </si>
  <si>
    <t>团队</t>
    <phoneticPr fontId="1" type="noConversion"/>
  </si>
  <si>
    <t>费用情况
（元/人/月）</t>
    <phoneticPr fontId="1" type="noConversion"/>
  </si>
  <si>
    <t>合计</t>
    <phoneticPr fontId="1" type="noConversion"/>
  </si>
  <si>
    <t>系统及零部件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</si>
</sst>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4"/>
      <charset val="134"/>
    </font>
    <font>
      <b/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1"/>
      <name val="宋体"/>
      <family val="3"/>
      <charset val="134"/>
    </font>
    <font>
      <b/>
      <sz val="10"/>
      <name val="等线"/>
      <family val="4"/>
      <charset val="134"/>
    </font>
    <font>
      <b/>
      <sz val="10"/>
      <name val="等线"/>
      <family val="4"/>
      <charset val="134"/>
    </font>
    <font>
      <b/>
      <sz val="10"/>
      <name val="等线"/>
      <family val="4"/>
      <charset val="134"/>
    </font>
    <font>
      <b/>
      <sz val="10"/>
      <name val="等线"/>
      <family val="4"/>
      <charset val="134"/>
    </font>
    <font>
      <b/>
      <sz val="10"/>
      <name val="等线"/>
      <family val="4"/>
      <charset val="134"/>
    </font>
    <font>
      <b/>
      <sz val="10"/>
      <name val="等线"/>
      <family val="4"/>
      <charset val="134"/>
    </font>
    <font>
      <b/>
      <sz val="10"/>
      <name val="等线"/>
      <family val="4"/>
      <charset val="134"/>
    </font>
    <font>
      <b/>
      <sz val="10"/>
      <name val="等线"/>
      <family val="4"/>
      <charset val="134"/>
    </font>
    <font>
      <b/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b/>
      <sz val="10"/>
      <name val="等线"/>
      <family val="4"/>
      <charset val="134"/>
    </font>
  </fonts>
  <fills count="6">
    <fill>
      <patternFill patternType="none"/>
    </fill>
    <fill>
      <patternFill patternType="gray125"/>
    </fill>
    <fill>
      <patternFill patternType="solid">
        <fgColor rgb="FFECF9F0"/>
      </patternFill>
    </fill>
    <fill>
      <patternFill patternType="solid">
        <fgColor rgb="FFFFFAE5"/>
      </patternFill>
    </fill>
    <fill>
      <patternFill patternType="solid">
        <fgColor rgb="FFE8F2FE"/>
      </patternFill>
    </fill>
    <fill>
      <patternFill patternType="solid">
        <fgColor rgb="FFFEF3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9" fontId="2" fillId="4" borderId="2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9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9" fontId="29" fillId="5" borderId="2" xfId="0" applyNumberFormat="1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9" fontId="34" fillId="5" borderId="2" xfId="0" applyNumberFormat="1" applyFont="1" applyFill="1" applyBorder="1" applyAlignment="1">
      <alignment horizontal="center" vertical="center" wrapText="1"/>
    </xf>
    <xf numFmtId="0" fontId="35" fillId="5" borderId="2" xfId="0" applyFont="1" applyFill="1" applyBorder="1" applyAlignment="1">
      <alignment horizontal="center" vertical="center" wrapText="1"/>
    </xf>
    <xf numFmtId="0" fontId="38" fillId="5" borderId="2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43" fillId="5" borderId="2" xfId="0" applyFont="1" applyFill="1" applyBorder="1" applyAlignment="1">
      <alignment horizontal="center" vertical="center" wrapText="1"/>
    </xf>
    <xf numFmtId="0" fontId="44" fillId="5" borderId="2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 wrapText="1"/>
    </xf>
    <xf numFmtId="0" fontId="48" fillId="5" borderId="2" xfId="0" applyFont="1" applyFill="1" applyBorder="1" applyAlignment="1">
      <alignment horizontal="center" vertical="center" wrapText="1"/>
    </xf>
    <xf numFmtId="0" fontId="49" fillId="2" borderId="2" xfId="0" applyFont="1" applyFill="1" applyBorder="1" applyAlignment="1">
      <alignment horizontal="center" vertical="center" wrapText="1"/>
    </xf>
    <xf numFmtId="0" fontId="52" fillId="5" borderId="2" xfId="0" applyFont="1" applyFill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 wrapText="1"/>
    </xf>
    <xf numFmtId="0" fontId="56" fillId="5" borderId="2" xfId="0" applyFont="1" applyFill="1" applyBorder="1" applyAlignment="1">
      <alignment horizontal="center" vertical="center" wrapText="1"/>
    </xf>
    <xf numFmtId="0" fontId="57" fillId="2" borderId="2" xfId="0" applyFont="1" applyFill="1" applyBorder="1" applyAlignment="1">
      <alignment horizontal="center" vertical="center" wrapText="1"/>
    </xf>
    <xf numFmtId="0" fontId="60" fillId="5" borderId="2" xfId="0" applyFont="1" applyFill="1" applyBorder="1" applyAlignment="1">
      <alignment horizontal="center" vertical="center" wrapText="1"/>
    </xf>
    <xf numFmtId="0" fontId="63" fillId="5" borderId="2" xfId="0" applyFont="1" applyFill="1" applyBorder="1" applyAlignment="1">
      <alignment horizontal="center" vertical="center" wrapText="1"/>
    </xf>
    <xf numFmtId="0" fontId="64" fillId="2" borderId="2" xfId="0" applyFont="1" applyFill="1" applyBorder="1" applyAlignment="1">
      <alignment horizontal="center" vertical="center" wrapText="1"/>
    </xf>
    <xf numFmtId="0" fontId="67" fillId="5" borderId="2" xfId="0" applyFont="1" applyFill="1" applyBorder="1" applyAlignment="1">
      <alignment horizontal="center" vertical="center" wrapText="1"/>
    </xf>
    <xf numFmtId="0" fontId="68" fillId="2" borderId="2" xfId="0" applyFont="1" applyFill="1" applyBorder="1" applyAlignment="1">
      <alignment horizontal="center" vertical="center" wrapText="1"/>
    </xf>
    <xf numFmtId="0" fontId="71" fillId="5" borderId="2" xfId="0" applyFont="1" applyFill="1" applyBorder="1" applyAlignment="1">
      <alignment horizontal="center" vertical="center" wrapText="1"/>
    </xf>
    <xf numFmtId="0" fontId="72" fillId="5" borderId="2" xfId="0" applyFont="1" applyFill="1" applyBorder="1" applyAlignment="1">
      <alignment horizontal="center" vertical="center" wrapText="1"/>
    </xf>
    <xf numFmtId="0" fontId="73" fillId="2" borderId="2" xfId="0" applyFont="1" applyFill="1" applyBorder="1" applyAlignment="1">
      <alignment horizontal="center" vertical="center" wrapText="1"/>
    </xf>
    <xf numFmtId="0" fontId="76" fillId="5" borderId="2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 wrapText="1"/>
    </xf>
    <xf numFmtId="0" fontId="37" fillId="5" borderId="2" xfId="0" applyFont="1" applyFill="1" applyBorder="1" applyAlignment="1">
      <alignment horizontal="center" vertical="center" wrapText="1"/>
    </xf>
    <xf numFmtId="0" fontId="36" fillId="3" borderId="2" xfId="0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 wrapText="1"/>
    </xf>
    <xf numFmtId="0" fontId="41" fillId="3" borderId="2" xfId="0" applyFont="1" applyFill="1" applyBorder="1" applyAlignment="1">
      <alignment horizontal="center" vertical="center" wrapText="1"/>
    </xf>
    <xf numFmtId="0" fontId="47" fillId="5" borderId="2" xfId="0" applyFont="1" applyFill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 wrapText="1"/>
    </xf>
    <xf numFmtId="0" fontId="51" fillId="5" borderId="2" xfId="0" applyFont="1" applyFill="1" applyBorder="1" applyAlignment="1">
      <alignment horizontal="center" vertical="center" wrapText="1"/>
    </xf>
    <xf numFmtId="0" fontId="50" fillId="3" borderId="2" xfId="0" applyFont="1" applyFill="1" applyBorder="1" applyAlignment="1">
      <alignment horizontal="center" vertical="center" wrapText="1"/>
    </xf>
    <xf numFmtId="0" fontId="55" fillId="5" borderId="2" xfId="0" applyFont="1" applyFill="1" applyBorder="1" applyAlignment="1">
      <alignment horizontal="center" vertical="center" wrapText="1"/>
    </xf>
    <xf numFmtId="0" fontId="54" fillId="3" borderId="2" xfId="0" applyFont="1" applyFill="1" applyBorder="1" applyAlignment="1">
      <alignment horizontal="center" vertical="center" wrapText="1"/>
    </xf>
    <xf numFmtId="0" fontId="59" fillId="5" borderId="2" xfId="0" applyFont="1" applyFill="1" applyBorder="1" applyAlignment="1">
      <alignment horizontal="center" vertical="center" wrapText="1"/>
    </xf>
    <xf numFmtId="0" fontId="58" fillId="3" borderId="2" xfId="0" applyFont="1" applyFill="1" applyBorder="1" applyAlignment="1">
      <alignment horizontal="center" vertical="center" wrapText="1"/>
    </xf>
    <xf numFmtId="0" fontId="62" fillId="5" borderId="2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center" wrapText="1"/>
    </xf>
    <xf numFmtId="0" fontId="66" fillId="5" borderId="2" xfId="0" applyFont="1" applyFill="1" applyBorder="1" applyAlignment="1">
      <alignment horizontal="center" vertical="center" wrapText="1"/>
    </xf>
    <xf numFmtId="0" fontId="65" fillId="3" borderId="2" xfId="0" applyFont="1" applyFill="1" applyBorder="1" applyAlignment="1">
      <alignment horizontal="center" vertical="center" wrapText="1"/>
    </xf>
    <xf numFmtId="0" fontId="70" fillId="5" borderId="2" xfId="0" applyFont="1" applyFill="1" applyBorder="1" applyAlignment="1">
      <alignment horizontal="center" vertical="center" wrapText="1"/>
    </xf>
    <xf numFmtId="0" fontId="69" fillId="3" borderId="2" xfId="0" applyFont="1" applyFill="1" applyBorder="1" applyAlignment="1">
      <alignment horizontal="center" vertical="center" wrapText="1"/>
    </xf>
    <xf numFmtId="0" fontId="75" fillId="5" borderId="2" xfId="0" applyFont="1" applyFill="1" applyBorder="1" applyAlignment="1">
      <alignment horizontal="center" vertical="center" wrapText="1"/>
    </xf>
    <xf numFmtId="0" fontId="74" fillId="3" borderId="2" xfId="0" applyFont="1" applyFill="1" applyBorder="1" applyAlignment="1">
      <alignment horizontal="center" vertical="center" wrapText="1"/>
    </xf>
    <xf numFmtId="0" fontId="79" fillId="5" borderId="2" xfId="0" applyFont="1" applyFill="1" applyBorder="1" applyAlignment="1">
      <alignment horizontal="center" vertical="center" wrapText="1"/>
    </xf>
    <xf numFmtId="0" fontId="78" fillId="3" borderId="2" xfId="0" applyFont="1" applyFill="1" applyBorder="1" applyAlignment="1">
      <alignment horizontal="center" vertical="center" wrapText="1"/>
    </xf>
    <xf numFmtId="0" fontId="81" fillId="5" borderId="2" xfId="0" applyFont="1" applyFill="1" applyBorder="1" applyAlignment="1">
      <alignment horizontal="center" vertical="center" wrapText="1"/>
    </xf>
    <xf numFmtId="0" fontId="80" fillId="3" borderId="2" xfId="0" applyFont="1" applyFill="1" applyBorder="1" applyAlignment="1">
      <alignment horizontal="center" vertical="center" wrapText="1"/>
    </xf>
    <xf numFmtId="0" fontId="83" fillId="5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85" fillId="5" borderId="2" xfId="0" applyFont="1" applyFill="1" applyBorder="1" applyAlignment="1">
      <alignment horizontal="center" vertical="center" wrapText="1"/>
    </xf>
    <xf numFmtId="0" fontId="84" fillId="3" borderId="2" xfId="0" applyFont="1" applyFill="1" applyBorder="1" applyAlignment="1">
      <alignment horizontal="center" vertical="center" wrapText="1"/>
    </xf>
    <xf numFmtId="0" fontId="87" fillId="5" borderId="2" xfId="0" applyFont="1" applyFill="1" applyBorder="1" applyAlignment="1">
      <alignment horizontal="center" vertical="center" wrapText="1"/>
    </xf>
    <xf numFmtId="0" fontId="86" fillId="3" borderId="2" xfId="0" applyFont="1" applyFill="1" applyBorder="1" applyAlignment="1">
      <alignment horizontal="center" vertical="center" wrapText="1"/>
    </xf>
    <xf numFmtId="0" fontId="89" fillId="5" borderId="2" xfId="0" applyFont="1" applyFill="1" applyBorder="1" applyAlignment="1">
      <alignment horizontal="center" vertical="center" wrapText="1"/>
    </xf>
    <xf numFmtId="0" fontId="88" fillId="3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90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3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DECD-5790-1341-B38A-842355541637}">
  <sheetPr>
    <outlinePr summaryBelow="0" summaryRight="0"/>
  </sheetPr>
  <dimension ref="A1:AH21"/>
  <sheetViews>
    <sheetView workbookViewId="0">
      <pane xSplit="5" ySplit="2" topLeftCell="K8" activePane="bottomRight" state="frozen"/>
      <selection pane="topRight" activeCell="F1" sqref="F1"/>
      <selection pane="bottomLeft" activeCell="A3" sqref="A3"/>
      <selection pane="bottomRight" activeCell="L20" sqref="L20"/>
    </sheetView>
  </sheetViews>
  <sheetFormatPr baseColWidth="10" defaultColWidth="10" defaultRowHeight="16.5" customHeight="1"/>
  <cols>
    <col min="1" max="13" width="22" customWidth="1"/>
    <col min="14" max="34" width="22.1640625" customWidth="1"/>
  </cols>
  <sheetData>
    <row r="1" spans="1:34" s="3" customFormat="1" ht="16.5" customHeight="1">
      <c r="A1" s="109" t="s">
        <v>313</v>
      </c>
      <c r="B1" s="110"/>
      <c r="C1" s="110"/>
      <c r="D1" s="110"/>
      <c r="E1" s="110"/>
      <c r="F1" s="107" t="s">
        <v>315</v>
      </c>
      <c r="G1" s="108"/>
      <c r="H1" s="108"/>
      <c r="I1" s="108"/>
      <c r="J1" s="108"/>
      <c r="K1" s="108"/>
      <c r="L1" s="108"/>
      <c r="M1" s="108"/>
      <c r="N1" s="112" t="s">
        <v>316</v>
      </c>
      <c r="O1" s="108"/>
      <c r="P1" s="108"/>
      <c r="Q1" s="108"/>
      <c r="R1" s="108"/>
      <c r="S1" s="108"/>
      <c r="T1" s="108"/>
      <c r="U1" s="111" t="s">
        <v>317</v>
      </c>
      <c r="V1" s="108"/>
      <c r="W1" s="108"/>
      <c r="X1" s="108"/>
      <c r="Y1" s="108"/>
      <c r="Z1" s="108"/>
      <c r="AA1" s="108"/>
      <c r="AB1" s="107" t="s">
        <v>319</v>
      </c>
      <c r="AC1" s="108"/>
      <c r="AD1" s="108"/>
      <c r="AE1" s="108"/>
      <c r="AF1" s="108"/>
      <c r="AG1" s="108"/>
      <c r="AH1" s="108"/>
    </row>
    <row r="2" spans="1:34" s="3" customFormat="1" ht="41.2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320</v>
      </c>
      <c r="I2" s="5" t="s">
        <v>7</v>
      </c>
      <c r="J2" s="5" t="s">
        <v>321</v>
      </c>
      <c r="K2" s="8" t="s">
        <v>8</v>
      </c>
      <c r="L2" s="5" t="s">
        <v>9</v>
      </c>
      <c r="M2" s="5" t="s">
        <v>318</v>
      </c>
      <c r="N2" s="6" t="s">
        <v>5</v>
      </c>
      <c r="O2" s="6" t="s">
        <v>11</v>
      </c>
      <c r="P2" s="6" t="s">
        <v>7</v>
      </c>
      <c r="Q2" s="6" t="s">
        <v>321</v>
      </c>
      <c r="R2" s="9" t="s">
        <v>8</v>
      </c>
      <c r="S2" s="6" t="s">
        <v>9</v>
      </c>
      <c r="T2" s="6" t="s">
        <v>10</v>
      </c>
      <c r="U2" s="7" t="s">
        <v>5</v>
      </c>
      <c r="V2" s="7" t="s">
        <v>11</v>
      </c>
      <c r="W2" s="7" t="s">
        <v>7</v>
      </c>
      <c r="X2" s="7" t="s">
        <v>321</v>
      </c>
      <c r="Y2" s="10" t="s">
        <v>8</v>
      </c>
      <c r="Z2" s="7" t="s">
        <v>9</v>
      </c>
      <c r="AA2" s="11" t="s">
        <v>12</v>
      </c>
      <c r="AB2" s="5" t="s">
        <v>5</v>
      </c>
      <c r="AC2" s="5" t="s">
        <v>11</v>
      </c>
      <c r="AD2" s="5" t="s">
        <v>7</v>
      </c>
      <c r="AE2" s="5" t="s">
        <v>321</v>
      </c>
      <c r="AF2" s="12" t="s">
        <v>8</v>
      </c>
      <c r="AG2" s="5" t="s">
        <v>9</v>
      </c>
      <c r="AH2" s="13" t="s">
        <v>12</v>
      </c>
    </row>
    <row r="3" spans="1:34" ht="41.25" customHeight="1">
      <c r="A3" s="14">
        <v>1</v>
      </c>
      <c r="B3" s="14" t="s">
        <v>16</v>
      </c>
      <c r="C3" s="14">
        <v>23</v>
      </c>
      <c r="D3" s="14">
        <v>118</v>
      </c>
      <c r="E3" s="14">
        <v>465</v>
      </c>
      <c r="F3" s="15" t="s">
        <v>17</v>
      </c>
      <c r="G3" s="16">
        <v>0.3</v>
      </c>
      <c r="H3" s="16">
        <v>0.8</v>
      </c>
      <c r="I3" s="15" t="s">
        <v>18</v>
      </c>
      <c r="J3" s="15">
        <v>100</v>
      </c>
      <c r="K3" s="15">
        <v>120</v>
      </c>
      <c r="L3" s="15">
        <v>8</v>
      </c>
      <c r="M3" s="15">
        <f t="shared" ref="M3:M18" si="0">K3*L3</f>
        <v>960</v>
      </c>
      <c r="N3" s="17" t="s">
        <v>19</v>
      </c>
      <c r="O3" s="18">
        <v>0.3</v>
      </c>
      <c r="P3" s="19" t="s">
        <v>20</v>
      </c>
      <c r="Q3" s="19">
        <v>100</v>
      </c>
      <c r="R3" s="19">
        <v>60</v>
      </c>
      <c r="S3" s="19">
        <v>1</v>
      </c>
      <c r="T3" s="19">
        <f t="shared" ref="T3:T18" si="1">R3*S3</f>
        <v>60</v>
      </c>
      <c r="U3" s="20" t="s">
        <v>17</v>
      </c>
      <c r="V3" s="21">
        <v>0.4</v>
      </c>
      <c r="W3" s="20" t="s">
        <v>21</v>
      </c>
      <c r="X3" s="20">
        <v>240</v>
      </c>
      <c r="Y3" s="20">
        <v>65</v>
      </c>
      <c r="Z3" s="20">
        <v>8</v>
      </c>
      <c r="AA3" s="20">
        <f t="shared" ref="AA3:AA18" si="2">Y3*Z3</f>
        <v>520</v>
      </c>
      <c r="AB3" s="15" t="s">
        <v>17</v>
      </c>
      <c r="AC3" s="16">
        <v>0.5</v>
      </c>
      <c r="AD3" s="15" t="s">
        <v>22</v>
      </c>
      <c r="AE3" s="15"/>
      <c r="AF3" s="15">
        <v>200</v>
      </c>
      <c r="AG3" s="15">
        <v>2</v>
      </c>
      <c r="AH3" s="15">
        <f t="shared" ref="AH3:AH18" si="3">AF3*AG3</f>
        <v>400</v>
      </c>
    </row>
    <row r="4" spans="1:34" ht="41.25" customHeight="1">
      <c r="A4" s="14">
        <v>2</v>
      </c>
      <c r="B4" s="14" t="s">
        <v>26</v>
      </c>
      <c r="C4" s="14">
        <v>8</v>
      </c>
      <c r="D4" s="14">
        <v>62</v>
      </c>
      <c r="E4" s="14">
        <v>313</v>
      </c>
      <c r="F4" s="15" t="s">
        <v>17</v>
      </c>
      <c r="G4" s="16">
        <v>0.1</v>
      </c>
      <c r="H4" s="16">
        <v>0.8</v>
      </c>
      <c r="I4" s="15" t="s">
        <v>18</v>
      </c>
      <c r="J4" s="15">
        <v>100</v>
      </c>
      <c r="K4" s="15">
        <v>120</v>
      </c>
      <c r="L4" s="15">
        <v>2</v>
      </c>
      <c r="M4" s="15">
        <f t="shared" si="0"/>
        <v>240</v>
      </c>
      <c r="N4" s="22" t="s">
        <v>19</v>
      </c>
      <c r="O4" s="18">
        <v>0.4</v>
      </c>
      <c r="P4" s="19" t="s">
        <v>20</v>
      </c>
      <c r="Q4" s="19">
        <v>100</v>
      </c>
      <c r="R4" s="19">
        <v>60</v>
      </c>
      <c r="S4" s="19">
        <v>1</v>
      </c>
      <c r="T4" s="19">
        <f t="shared" si="1"/>
        <v>60</v>
      </c>
      <c r="U4" s="20" t="s">
        <v>17</v>
      </c>
      <c r="V4" s="21">
        <v>0.25</v>
      </c>
      <c r="W4" s="23" t="s">
        <v>27</v>
      </c>
      <c r="X4" s="20">
        <v>210</v>
      </c>
      <c r="Y4" s="20">
        <v>60</v>
      </c>
      <c r="Z4" s="20">
        <v>7</v>
      </c>
      <c r="AA4" s="20">
        <f t="shared" si="2"/>
        <v>420</v>
      </c>
      <c r="AB4" s="15" t="s">
        <v>17</v>
      </c>
      <c r="AC4" s="16">
        <v>0.5</v>
      </c>
      <c r="AD4" s="15" t="s">
        <v>22</v>
      </c>
      <c r="AE4" s="15"/>
      <c r="AF4" s="15">
        <v>200</v>
      </c>
      <c r="AG4" s="15">
        <v>1</v>
      </c>
      <c r="AH4" s="15">
        <f t="shared" si="3"/>
        <v>200</v>
      </c>
    </row>
    <row r="5" spans="1:34" ht="41.25" customHeight="1">
      <c r="A5" s="14">
        <v>3</v>
      </c>
      <c r="B5" s="14" t="s">
        <v>30</v>
      </c>
      <c r="C5" s="14">
        <v>15</v>
      </c>
      <c r="D5" s="14">
        <v>69</v>
      </c>
      <c r="E5" s="14">
        <v>262</v>
      </c>
      <c r="F5" s="15" t="s">
        <v>17</v>
      </c>
      <c r="G5" s="16">
        <v>0.1</v>
      </c>
      <c r="H5" s="16">
        <v>0.8</v>
      </c>
      <c r="I5" s="15" t="s">
        <v>18</v>
      </c>
      <c r="J5" s="15">
        <v>100</v>
      </c>
      <c r="K5" s="15">
        <v>120</v>
      </c>
      <c r="L5" s="15">
        <v>6</v>
      </c>
      <c r="M5" s="15">
        <f t="shared" si="0"/>
        <v>720</v>
      </c>
      <c r="N5" s="24" t="s">
        <v>19</v>
      </c>
      <c r="O5" s="18">
        <v>0.55000000000000004</v>
      </c>
      <c r="P5" s="19" t="s">
        <v>31</v>
      </c>
      <c r="Q5" s="19">
        <v>120</v>
      </c>
      <c r="R5" s="19">
        <v>0</v>
      </c>
      <c r="S5" s="19">
        <v>1</v>
      </c>
      <c r="T5" s="19">
        <f t="shared" si="1"/>
        <v>0</v>
      </c>
      <c r="U5" s="20" t="s">
        <v>17</v>
      </c>
      <c r="V5" s="21">
        <v>0.6</v>
      </c>
      <c r="W5" s="25" t="s">
        <v>32</v>
      </c>
      <c r="X5" s="20"/>
      <c r="Y5" s="20">
        <v>200</v>
      </c>
      <c r="Z5" s="20">
        <v>26</v>
      </c>
      <c r="AA5" s="20">
        <f t="shared" si="2"/>
        <v>5200</v>
      </c>
      <c r="AB5" s="15" t="s">
        <v>17</v>
      </c>
      <c r="AC5" s="16">
        <v>0.7</v>
      </c>
      <c r="AD5" s="15" t="s">
        <v>33</v>
      </c>
      <c r="AE5" s="15"/>
      <c r="AF5" s="15">
        <v>200</v>
      </c>
      <c r="AG5" s="15">
        <v>2</v>
      </c>
      <c r="AH5" s="15">
        <f t="shared" si="3"/>
        <v>400</v>
      </c>
    </row>
    <row r="6" spans="1:34" ht="41.25" customHeight="1">
      <c r="A6" s="14">
        <v>4</v>
      </c>
      <c r="B6" s="14" t="s">
        <v>36</v>
      </c>
      <c r="C6" s="14">
        <v>7</v>
      </c>
      <c r="D6" s="14">
        <v>49</v>
      </c>
      <c r="E6" s="14">
        <v>112</v>
      </c>
      <c r="F6" s="15" t="s">
        <v>17</v>
      </c>
      <c r="G6" s="16">
        <v>0.1</v>
      </c>
      <c r="H6" s="16">
        <v>0.8</v>
      </c>
      <c r="I6" s="15" t="s">
        <v>18</v>
      </c>
      <c r="J6" s="15">
        <v>100</v>
      </c>
      <c r="K6" s="15">
        <v>120</v>
      </c>
      <c r="L6" s="15">
        <v>4</v>
      </c>
      <c r="M6" s="15">
        <f t="shared" si="0"/>
        <v>480</v>
      </c>
      <c r="N6" s="26" t="s">
        <v>19</v>
      </c>
      <c r="O6" s="18">
        <v>0.3</v>
      </c>
      <c r="P6" s="19" t="s">
        <v>20</v>
      </c>
      <c r="Q6" s="19">
        <v>100</v>
      </c>
      <c r="R6" s="19">
        <v>60</v>
      </c>
      <c r="S6" s="19">
        <v>1</v>
      </c>
      <c r="T6" s="19">
        <f t="shared" si="1"/>
        <v>60</v>
      </c>
      <c r="U6" s="20" t="s">
        <v>17</v>
      </c>
      <c r="V6" s="21">
        <v>0.25</v>
      </c>
      <c r="W6" s="27" t="s">
        <v>27</v>
      </c>
      <c r="X6" s="20">
        <v>60</v>
      </c>
      <c r="Y6" s="20">
        <v>60</v>
      </c>
      <c r="Z6" s="20">
        <v>2</v>
      </c>
      <c r="AA6" s="20">
        <f t="shared" si="2"/>
        <v>120</v>
      </c>
      <c r="AB6" s="15" t="s">
        <v>17</v>
      </c>
      <c r="AC6" s="16">
        <v>0.5</v>
      </c>
      <c r="AD6" s="15" t="s">
        <v>22</v>
      </c>
      <c r="AE6" s="15"/>
      <c r="AF6" s="15">
        <v>200</v>
      </c>
      <c r="AG6" s="15">
        <v>3</v>
      </c>
      <c r="AH6" s="15">
        <f t="shared" si="3"/>
        <v>600</v>
      </c>
    </row>
    <row r="7" spans="1:34" ht="41.25" customHeight="1">
      <c r="A7" s="14">
        <v>5</v>
      </c>
      <c r="B7" s="14" t="s">
        <v>39</v>
      </c>
      <c r="C7" s="14">
        <v>12</v>
      </c>
      <c r="D7" s="14">
        <v>69</v>
      </c>
      <c r="E7" s="14">
        <v>190</v>
      </c>
      <c r="F7" s="15" t="s">
        <v>17</v>
      </c>
      <c r="G7" s="16">
        <v>0.1</v>
      </c>
      <c r="H7" s="16">
        <v>0.8</v>
      </c>
      <c r="I7" s="15" t="s">
        <v>18</v>
      </c>
      <c r="J7" s="15">
        <v>100</v>
      </c>
      <c r="K7" s="15">
        <v>120</v>
      </c>
      <c r="L7" s="15">
        <v>6</v>
      </c>
      <c r="M7" s="15">
        <f t="shared" si="0"/>
        <v>720</v>
      </c>
      <c r="N7" s="28" t="s">
        <v>40</v>
      </c>
      <c r="O7" s="18">
        <v>0.6</v>
      </c>
      <c r="P7" s="29" t="s">
        <v>41</v>
      </c>
      <c r="Q7" s="19">
        <v>180</v>
      </c>
      <c r="R7" s="19">
        <v>0</v>
      </c>
      <c r="S7" s="19">
        <v>1</v>
      </c>
      <c r="T7" s="19">
        <f t="shared" si="1"/>
        <v>0</v>
      </c>
      <c r="U7" s="20" t="s">
        <v>17</v>
      </c>
      <c r="V7" s="21">
        <v>0.25</v>
      </c>
      <c r="W7" s="30" t="s">
        <v>27</v>
      </c>
      <c r="X7" s="20">
        <v>30</v>
      </c>
      <c r="Y7" s="20">
        <v>60</v>
      </c>
      <c r="Z7" s="20">
        <v>1</v>
      </c>
      <c r="AA7" s="20">
        <f t="shared" si="2"/>
        <v>60</v>
      </c>
      <c r="AB7" s="15"/>
      <c r="AC7" s="15"/>
      <c r="AD7" s="15" t="s">
        <v>33</v>
      </c>
      <c r="AE7" s="15"/>
      <c r="AF7" s="15">
        <v>200</v>
      </c>
      <c r="AG7" s="15">
        <v>2</v>
      </c>
      <c r="AH7" s="15">
        <f t="shared" si="3"/>
        <v>400</v>
      </c>
    </row>
    <row r="8" spans="1:34" ht="41.25" customHeight="1">
      <c r="A8" s="14">
        <v>6</v>
      </c>
      <c r="B8" s="14" t="s">
        <v>44</v>
      </c>
      <c r="C8" s="14">
        <v>10</v>
      </c>
      <c r="D8" s="14">
        <v>61</v>
      </c>
      <c r="E8" s="14">
        <v>155</v>
      </c>
      <c r="F8" s="15" t="s">
        <v>17</v>
      </c>
      <c r="G8" s="16">
        <v>0.1</v>
      </c>
      <c r="H8" s="16">
        <v>0.8</v>
      </c>
      <c r="I8" s="15" t="s">
        <v>18</v>
      </c>
      <c r="J8" s="15">
        <v>100</v>
      </c>
      <c r="K8" s="15">
        <v>120</v>
      </c>
      <c r="L8" s="15">
        <v>2</v>
      </c>
      <c r="M8" s="15">
        <f t="shared" si="0"/>
        <v>240</v>
      </c>
      <c r="N8" s="31" t="s">
        <v>40</v>
      </c>
      <c r="O8" s="18">
        <v>0.5</v>
      </c>
      <c r="P8" s="32" t="s">
        <v>41</v>
      </c>
      <c r="Q8" s="19">
        <v>120</v>
      </c>
      <c r="R8" s="19">
        <v>0</v>
      </c>
      <c r="S8" s="19">
        <v>1</v>
      </c>
      <c r="T8" s="19">
        <f t="shared" si="1"/>
        <v>0</v>
      </c>
      <c r="U8" s="20" t="s">
        <v>17</v>
      </c>
      <c r="V8" s="21">
        <v>0.3</v>
      </c>
      <c r="W8" s="25" t="s">
        <v>45</v>
      </c>
      <c r="X8" s="20">
        <v>40</v>
      </c>
      <c r="Y8" s="20">
        <v>210</v>
      </c>
      <c r="Z8" s="20">
        <v>2</v>
      </c>
      <c r="AA8" s="20">
        <f t="shared" si="2"/>
        <v>420</v>
      </c>
      <c r="AB8" s="15" t="s">
        <v>17</v>
      </c>
      <c r="AC8" s="16">
        <v>0.5</v>
      </c>
      <c r="AD8" s="15" t="s">
        <v>22</v>
      </c>
      <c r="AE8" s="15"/>
      <c r="AF8" s="15">
        <v>200</v>
      </c>
      <c r="AG8" s="15">
        <v>1</v>
      </c>
      <c r="AH8" s="15">
        <f t="shared" si="3"/>
        <v>200</v>
      </c>
    </row>
    <row r="9" spans="1:34" ht="41.25" customHeight="1">
      <c r="A9" s="14">
        <v>7</v>
      </c>
      <c r="B9" s="14" t="s">
        <v>48</v>
      </c>
      <c r="C9" s="14">
        <v>48</v>
      </c>
      <c r="D9" s="14">
        <v>120</v>
      </c>
      <c r="E9" s="14">
        <v>1049</v>
      </c>
      <c r="F9" s="15" t="s">
        <v>17</v>
      </c>
      <c r="G9" s="16">
        <v>0.1</v>
      </c>
      <c r="H9" s="16">
        <v>0.8</v>
      </c>
      <c r="I9" s="15" t="s">
        <v>18</v>
      </c>
      <c r="J9" s="15">
        <v>100</v>
      </c>
      <c r="K9" s="15">
        <v>120</v>
      </c>
      <c r="L9" s="15">
        <v>18</v>
      </c>
      <c r="M9" s="15">
        <f t="shared" si="0"/>
        <v>2160</v>
      </c>
      <c r="N9" s="33" t="s">
        <v>19</v>
      </c>
      <c r="O9" s="18">
        <v>0.3</v>
      </c>
      <c r="P9" s="19" t="s">
        <v>20</v>
      </c>
      <c r="Q9" s="19">
        <v>100</v>
      </c>
      <c r="R9" s="19">
        <v>60</v>
      </c>
      <c r="S9" s="19">
        <v>1</v>
      </c>
      <c r="T9" s="19">
        <f t="shared" si="1"/>
        <v>60</v>
      </c>
      <c r="U9" s="20" t="s">
        <v>17</v>
      </c>
      <c r="V9" s="21">
        <v>0.8</v>
      </c>
      <c r="W9" s="34" t="s">
        <v>49</v>
      </c>
      <c r="X9" s="20"/>
      <c r="Y9" s="20">
        <v>700</v>
      </c>
      <c r="Z9" s="20">
        <v>10</v>
      </c>
      <c r="AA9" s="20">
        <f t="shared" si="2"/>
        <v>7000</v>
      </c>
      <c r="AB9" s="15" t="s">
        <v>17</v>
      </c>
      <c r="AC9" s="16">
        <v>0.8</v>
      </c>
      <c r="AD9" s="35" t="s">
        <v>27</v>
      </c>
      <c r="AE9" s="15"/>
      <c r="AF9" s="15">
        <v>200</v>
      </c>
      <c r="AG9" s="15">
        <v>5</v>
      </c>
      <c r="AH9" s="15">
        <f t="shared" si="3"/>
        <v>1000</v>
      </c>
    </row>
    <row r="10" spans="1:34" ht="41.25" customHeight="1">
      <c r="A10" s="14">
        <v>8</v>
      </c>
      <c r="B10" s="14" t="s">
        <v>52</v>
      </c>
      <c r="C10" s="14">
        <v>9</v>
      </c>
      <c r="D10" s="14">
        <v>47</v>
      </c>
      <c r="E10" s="14">
        <v>290</v>
      </c>
      <c r="F10" s="15" t="s">
        <v>17</v>
      </c>
      <c r="G10" s="16">
        <v>0.2</v>
      </c>
      <c r="H10" s="16">
        <v>0.8</v>
      </c>
      <c r="I10" s="15" t="s">
        <v>18</v>
      </c>
      <c r="J10" s="15">
        <v>100</v>
      </c>
      <c r="K10" s="15">
        <v>120</v>
      </c>
      <c r="L10" s="15">
        <v>8</v>
      </c>
      <c r="M10" s="15">
        <f t="shared" si="0"/>
        <v>960</v>
      </c>
      <c r="N10" s="36" t="s">
        <v>53</v>
      </c>
      <c r="O10" s="18">
        <v>0.6</v>
      </c>
      <c r="P10" s="37" t="s">
        <v>54</v>
      </c>
      <c r="Q10" s="19">
        <v>180</v>
      </c>
      <c r="R10" s="19">
        <v>200</v>
      </c>
      <c r="S10" s="19">
        <v>1</v>
      </c>
      <c r="T10" s="19">
        <f t="shared" si="1"/>
        <v>200</v>
      </c>
      <c r="U10" s="20" t="s">
        <v>17</v>
      </c>
      <c r="V10" s="21">
        <v>0.5</v>
      </c>
      <c r="W10" s="38" t="s">
        <v>55</v>
      </c>
      <c r="X10" s="20">
        <v>270</v>
      </c>
      <c r="Y10" s="20">
        <v>200</v>
      </c>
      <c r="Z10" s="20">
        <v>9</v>
      </c>
      <c r="AA10" s="20">
        <f t="shared" si="2"/>
        <v>1800</v>
      </c>
      <c r="AB10" s="15" t="s">
        <v>56</v>
      </c>
      <c r="AC10" s="15">
        <v>0</v>
      </c>
      <c r="AD10" s="15" t="s">
        <v>33</v>
      </c>
      <c r="AE10" s="15"/>
      <c r="AF10" s="15">
        <v>200</v>
      </c>
      <c r="AG10" s="15">
        <v>1</v>
      </c>
      <c r="AH10" s="15">
        <f t="shared" si="3"/>
        <v>200</v>
      </c>
    </row>
    <row r="11" spans="1:34" ht="41.25" customHeight="1">
      <c r="A11" s="14">
        <v>9</v>
      </c>
      <c r="B11" s="14" t="s">
        <v>59</v>
      </c>
      <c r="C11" s="14">
        <v>6</v>
      </c>
      <c r="D11" s="14">
        <v>108</v>
      </c>
      <c r="E11" s="14">
        <v>229</v>
      </c>
      <c r="F11" s="15" t="s">
        <v>17</v>
      </c>
      <c r="G11" s="16">
        <v>0.1</v>
      </c>
      <c r="H11" s="16">
        <v>0.8</v>
      </c>
      <c r="I11" s="15" t="s">
        <v>18</v>
      </c>
      <c r="J11" s="15">
        <v>100</v>
      </c>
      <c r="K11" s="15">
        <v>120</v>
      </c>
      <c r="L11" s="15">
        <v>4</v>
      </c>
      <c r="M11" s="15">
        <f t="shared" si="0"/>
        <v>480</v>
      </c>
      <c r="N11" s="39" t="s">
        <v>19</v>
      </c>
      <c r="O11" s="18">
        <v>0.3</v>
      </c>
      <c r="P11" s="19" t="s">
        <v>20</v>
      </c>
      <c r="Q11" s="19">
        <v>100</v>
      </c>
      <c r="R11" s="19">
        <v>60</v>
      </c>
      <c r="S11" s="19">
        <v>1</v>
      </c>
      <c r="T11" s="19">
        <f t="shared" si="1"/>
        <v>60</v>
      </c>
      <c r="U11" s="20" t="s">
        <v>17</v>
      </c>
      <c r="V11" s="21">
        <v>0.8</v>
      </c>
      <c r="W11" s="40" t="s">
        <v>49</v>
      </c>
      <c r="X11" s="20"/>
      <c r="Y11" s="20">
        <v>700</v>
      </c>
      <c r="Z11" s="20">
        <v>16</v>
      </c>
      <c r="AA11" s="20">
        <f t="shared" si="2"/>
        <v>11200</v>
      </c>
      <c r="AB11" s="15" t="s">
        <v>17</v>
      </c>
      <c r="AC11" s="16">
        <v>0.2</v>
      </c>
      <c r="AD11" s="15" t="s">
        <v>60</v>
      </c>
      <c r="AE11" s="15"/>
      <c r="AF11" s="15">
        <v>200</v>
      </c>
      <c r="AG11" s="15">
        <v>2</v>
      </c>
      <c r="AH11" s="15">
        <f t="shared" si="3"/>
        <v>400</v>
      </c>
    </row>
    <row r="12" spans="1:34" ht="41.25" customHeight="1">
      <c r="A12" s="14">
        <v>10</v>
      </c>
      <c r="B12" s="14" t="s">
        <v>63</v>
      </c>
      <c r="C12" s="14">
        <v>18</v>
      </c>
      <c r="D12" s="14">
        <v>119</v>
      </c>
      <c r="E12" s="14">
        <v>586</v>
      </c>
      <c r="F12" s="15" t="s">
        <v>17</v>
      </c>
      <c r="G12" s="16">
        <v>0.1</v>
      </c>
      <c r="H12" s="16">
        <v>0.8</v>
      </c>
      <c r="I12" s="15" t="s">
        <v>18</v>
      </c>
      <c r="J12" s="15">
        <v>100</v>
      </c>
      <c r="K12" s="15">
        <v>120</v>
      </c>
      <c r="L12" s="15">
        <v>8</v>
      </c>
      <c r="M12" s="15">
        <f t="shared" si="0"/>
        <v>960</v>
      </c>
      <c r="N12" s="41" t="s">
        <v>64</v>
      </c>
      <c r="O12" s="18">
        <v>0.3</v>
      </c>
      <c r="P12" s="19" t="s">
        <v>31</v>
      </c>
      <c r="Q12" s="19">
        <v>100</v>
      </c>
      <c r="R12" s="19">
        <v>0</v>
      </c>
      <c r="S12" s="19">
        <v>1</v>
      </c>
      <c r="T12" s="19">
        <f t="shared" si="1"/>
        <v>0</v>
      </c>
      <c r="U12" s="25" t="s">
        <v>17</v>
      </c>
      <c r="V12" s="42">
        <v>0.5</v>
      </c>
      <c r="W12" s="43" t="s">
        <v>65</v>
      </c>
      <c r="X12" s="25">
        <v>510</v>
      </c>
      <c r="Y12" s="25">
        <v>120</v>
      </c>
      <c r="Z12" s="20">
        <v>17</v>
      </c>
      <c r="AA12" s="20">
        <f t="shared" si="2"/>
        <v>2040</v>
      </c>
      <c r="AB12" s="15" t="s">
        <v>17</v>
      </c>
      <c r="AC12" s="16">
        <v>0.5</v>
      </c>
      <c r="AD12" s="15" t="s">
        <v>22</v>
      </c>
      <c r="AE12" s="15"/>
      <c r="AF12" s="15">
        <v>200</v>
      </c>
      <c r="AG12" s="15">
        <v>2</v>
      </c>
      <c r="AH12" s="15">
        <f t="shared" si="3"/>
        <v>400</v>
      </c>
    </row>
    <row r="13" spans="1:34" ht="41.25" customHeight="1">
      <c r="A13" s="14">
        <v>11</v>
      </c>
      <c r="B13" s="14" t="s">
        <v>68</v>
      </c>
      <c r="C13" s="14">
        <v>14</v>
      </c>
      <c r="D13" s="14">
        <v>94</v>
      </c>
      <c r="E13" s="14">
        <v>300</v>
      </c>
      <c r="F13" s="15" t="s">
        <v>17</v>
      </c>
      <c r="G13" s="16">
        <v>0.1</v>
      </c>
      <c r="H13" s="16">
        <v>0.8</v>
      </c>
      <c r="I13" s="15" t="s">
        <v>18</v>
      </c>
      <c r="J13" s="15">
        <v>100</v>
      </c>
      <c r="K13" s="15">
        <v>120</v>
      </c>
      <c r="L13" s="15">
        <v>2</v>
      </c>
      <c r="M13" s="15">
        <f t="shared" si="0"/>
        <v>240</v>
      </c>
      <c r="N13" s="44" t="s">
        <v>19</v>
      </c>
      <c r="O13" s="18">
        <v>0.3</v>
      </c>
      <c r="P13" s="19" t="s">
        <v>69</v>
      </c>
      <c r="Q13" s="19">
        <v>100</v>
      </c>
      <c r="R13" s="19">
        <v>0</v>
      </c>
      <c r="S13" s="19">
        <v>1</v>
      </c>
      <c r="T13" s="19">
        <f t="shared" si="1"/>
        <v>0</v>
      </c>
      <c r="U13" s="25" t="s">
        <v>17</v>
      </c>
      <c r="V13" s="42">
        <v>0.4</v>
      </c>
      <c r="W13" s="45" t="s">
        <v>70</v>
      </c>
      <c r="X13" s="25">
        <v>390</v>
      </c>
      <c r="Y13" s="25">
        <v>200</v>
      </c>
      <c r="Z13" s="20">
        <v>13</v>
      </c>
      <c r="AA13" s="20">
        <f t="shared" si="2"/>
        <v>2600</v>
      </c>
      <c r="AB13" s="15" t="s">
        <v>17</v>
      </c>
      <c r="AC13" s="16">
        <v>0.5</v>
      </c>
      <c r="AD13" s="15" t="s">
        <v>22</v>
      </c>
      <c r="AE13" s="15"/>
      <c r="AF13" s="15">
        <v>200</v>
      </c>
      <c r="AG13" s="15">
        <v>3</v>
      </c>
      <c r="AH13" s="15">
        <f t="shared" si="3"/>
        <v>600</v>
      </c>
    </row>
    <row r="14" spans="1:34" ht="41.25" customHeight="1">
      <c r="A14" s="14">
        <v>12</v>
      </c>
      <c r="B14" s="14" t="s">
        <v>73</v>
      </c>
      <c r="C14" s="14">
        <v>7</v>
      </c>
      <c r="D14" s="14">
        <v>38</v>
      </c>
      <c r="E14" s="14">
        <v>112</v>
      </c>
      <c r="F14" s="15" t="s">
        <v>17</v>
      </c>
      <c r="G14" s="16">
        <v>0.2</v>
      </c>
      <c r="H14" s="16">
        <v>0.8</v>
      </c>
      <c r="I14" s="15" t="s">
        <v>18</v>
      </c>
      <c r="J14" s="15">
        <v>100</v>
      </c>
      <c r="K14" s="15">
        <v>120</v>
      </c>
      <c r="L14" s="15">
        <v>4</v>
      </c>
      <c r="M14" s="15">
        <f t="shared" si="0"/>
        <v>480</v>
      </c>
      <c r="N14" s="46" t="s">
        <v>19</v>
      </c>
      <c r="O14" s="18">
        <v>0.3</v>
      </c>
      <c r="P14" s="19" t="s">
        <v>20</v>
      </c>
      <c r="Q14" s="19">
        <v>100</v>
      </c>
      <c r="R14" s="19">
        <v>60</v>
      </c>
      <c r="S14" s="19">
        <v>1</v>
      </c>
      <c r="T14" s="19">
        <f t="shared" si="1"/>
        <v>60</v>
      </c>
      <c r="U14" s="20" t="s">
        <v>17</v>
      </c>
      <c r="V14" s="21">
        <v>0.4</v>
      </c>
      <c r="W14" s="25" t="s">
        <v>45</v>
      </c>
      <c r="X14" s="20">
        <v>120</v>
      </c>
      <c r="Y14" s="20">
        <v>210</v>
      </c>
      <c r="Z14" s="20">
        <v>4</v>
      </c>
      <c r="AA14" s="20">
        <f t="shared" si="2"/>
        <v>840</v>
      </c>
      <c r="AB14" s="15" t="s">
        <v>17</v>
      </c>
      <c r="AC14" s="16">
        <v>0.5</v>
      </c>
      <c r="AD14" s="15" t="s">
        <v>22</v>
      </c>
      <c r="AE14" s="15"/>
      <c r="AF14" s="15">
        <v>200</v>
      </c>
      <c r="AG14" s="15">
        <v>1</v>
      </c>
      <c r="AH14" s="15">
        <f t="shared" si="3"/>
        <v>200</v>
      </c>
    </row>
    <row r="15" spans="1:34" ht="41.25" customHeight="1">
      <c r="A15" s="14">
        <v>13</v>
      </c>
      <c r="B15" s="14" t="s">
        <v>76</v>
      </c>
      <c r="C15" s="14">
        <v>5</v>
      </c>
      <c r="D15" s="14">
        <v>23</v>
      </c>
      <c r="E15" s="14">
        <v>71</v>
      </c>
      <c r="F15" s="15" t="s">
        <v>17</v>
      </c>
      <c r="G15" s="16">
        <v>0.1</v>
      </c>
      <c r="H15" s="16">
        <v>0.8</v>
      </c>
      <c r="I15" s="15" t="s">
        <v>18</v>
      </c>
      <c r="J15" s="15">
        <v>100</v>
      </c>
      <c r="K15" s="15">
        <v>120</v>
      </c>
      <c r="L15" s="15">
        <v>2</v>
      </c>
      <c r="M15" s="15">
        <f t="shared" si="0"/>
        <v>240</v>
      </c>
      <c r="N15" s="47" t="s">
        <v>19</v>
      </c>
      <c r="O15" s="18">
        <v>0.3</v>
      </c>
      <c r="P15" s="19" t="s">
        <v>31</v>
      </c>
      <c r="Q15" s="19">
        <v>100</v>
      </c>
      <c r="R15" s="19">
        <v>0</v>
      </c>
      <c r="S15" s="19">
        <v>1</v>
      </c>
      <c r="T15" s="19">
        <f t="shared" si="1"/>
        <v>0</v>
      </c>
      <c r="U15" s="20" t="s">
        <v>17</v>
      </c>
      <c r="V15" s="21">
        <v>0.25</v>
      </c>
      <c r="W15" s="48" t="s">
        <v>27</v>
      </c>
      <c r="X15" s="20">
        <v>90</v>
      </c>
      <c r="Y15" s="20">
        <v>60</v>
      </c>
      <c r="Z15" s="20">
        <v>3</v>
      </c>
      <c r="AA15" s="20">
        <f t="shared" si="2"/>
        <v>180</v>
      </c>
      <c r="AB15" s="15" t="s">
        <v>17</v>
      </c>
      <c r="AC15" s="16">
        <v>0.5</v>
      </c>
      <c r="AD15" s="15" t="s">
        <v>22</v>
      </c>
      <c r="AE15" s="15"/>
      <c r="AF15" s="15">
        <v>200</v>
      </c>
      <c r="AG15" s="15">
        <v>2</v>
      </c>
      <c r="AH15" s="15">
        <f t="shared" si="3"/>
        <v>400</v>
      </c>
    </row>
    <row r="16" spans="1:34" ht="41.25" customHeight="1">
      <c r="A16" s="14">
        <v>14</v>
      </c>
      <c r="B16" s="14" t="s">
        <v>79</v>
      </c>
      <c r="C16" s="14">
        <v>5</v>
      </c>
      <c r="D16" s="14">
        <v>54</v>
      </c>
      <c r="E16" s="14">
        <v>382</v>
      </c>
      <c r="F16" s="15" t="s">
        <v>17</v>
      </c>
      <c r="G16" s="16">
        <v>0.1</v>
      </c>
      <c r="H16" s="16">
        <v>0.8</v>
      </c>
      <c r="I16" s="15" t="s">
        <v>18</v>
      </c>
      <c r="J16" s="15">
        <v>100</v>
      </c>
      <c r="K16" s="15">
        <v>120</v>
      </c>
      <c r="L16" s="15">
        <v>14</v>
      </c>
      <c r="M16" s="15">
        <f t="shared" si="0"/>
        <v>1680</v>
      </c>
      <c r="N16" s="49" t="s">
        <v>64</v>
      </c>
      <c r="O16" s="18">
        <v>0.3</v>
      </c>
      <c r="P16" s="19" t="s">
        <v>31</v>
      </c>
      <c r="Q16" s="19">
        <v>100</v>
      </c>
      <c r="R16" s="19">
        <v>0</v>
      </c>
      <c r="S16" s="19">
        <v>1</v>
      </c>
      <c r="T16" s="19">
        <f t="shared" si="1"/>
        <v>0</v>
      </c>
      <c r="U16" s="20" t="s">
        <v>17</v>
      </c>
      <c r="V16" s="21">
        <v>0.8</v>
      </c>
      <c r="W16" s="50" t="s">
        <v>49</v>
      </c>
      <c r="X16" s="20"/>
      <c r="Y16" s="20">
        <v>700</v>
      </c>
      <c r="Z16" s="20">
        <v>6</v>
      </c>
      <c r="AA16" s="20">
        <f t="shared" si="2"/>
        <v>4200</v>
      </c>
      <c r="AB16" s="15" t="s">
        <v>17</v>
      </c>
      <c r="AC16" s="16">
        <v>0.4</v>
      </c>
      <c r="AD16" s="15" t="s">
        <v>60</v>
      </c>
      <c r="AE16" s="15"/>
      <c r="AF16" s="15">
        <v>200</v>
      </c>
      <c r="AG16" s="15">
        <v>1</v>
      </c>
      <c r="AH16" s="15">
        <f t="shared" si="3"/>
        <v>200</v>
      </c>
    </row>
    <row r="17" spans="1:34" ht="41.25" customHeight="1">
      <c r="A17" s="14">
        <v>15</v>
      </c>
      <c r="B17" s="14" t="s">
        <v>82</v>
      </c>
      <c r="C17" s="14">
        <v>9</v>
      </c>
      <c r="D17" s="14">
        <v>58</v>
      </c>
      <c r="E17" s="14">
        <v>196</v>
      </c>
      <c r="F17" s="15" t="s">
        <v>17</v>
      </c>
      <c r="G17" s="16">
        <v>0.1</v>
      </c>
      <c r="H17" s="16">
        <v>0.8</v>
      </c>
      <c r="I17" s="15" t="s">
        <v>18</v>
      </c>
      <c r="J17" s="15">
        <v>100</v>
      </c>
      <c r="K17" s="15">
        <v>120</v>
      </c>
      <c r="L17" s="15">
        <v>2</v>
      </c>
      <c r="M17" s="15">
        <f t="shared" si="0"/>
        <v>240</v>
      </c>
      <c r="N17" s="51" t="s">
        <v>53</v>
      </c>
      <c r="O17" s="18">
        <v>0.6</v>
      </c>
      <c r="P17" s="52" t="s">
        <v>83</v>
      </c>
      <c r="Q17" s="19">
        <v>180</v>
      </c>
      <c r="R17" s="19">
        <v>200</v>
      </c>
      <c r="S17" s="19">
        <v>1</v>
      </c>
      <c r="T17" s="19">
        <f t="shared" si="1"/>
        <v>200</v>
      </c>
      <c r="U17" s="20" t="s">
        <v>17</v>
      </c>
      <c r="V17" s="21">
        <v>0.3</v>
      </c>
      <c r="W17" s="53" t="s">
        <v>27</v>
      </c>
      <c r="X17" s="20">
        <v>570</v>
      </c>
      <c r="Y17" s="25">
        <v>200</v>
      </c>
      <c r="Z17" s="20">
        <v>19</v>
      </c>
      <c r="AA17" s="20">
        <f t="shared" si="2"/>
        <v>3800</v>
      </c>
      <c r="AB17" s="15" t="s">
        <v>17</v>
      </c>
      <c r="AC17" s="16">
        <v>0.5</v>
      </c>
      <c r="AD17" s="15" t="s">
        <v>22</v>
      </c>
      <c r="AE17" s="15"/>
      <c r="AF17" s="15">
        <v>200</v>
      </c>
      <c r="AG17" s="15">
        <v>1</v>
      </c>
      <c r="AH17" s="15">
        <f t="shared" si="3"/>
        <v>200</v>
      </c>
    </row>
    <row r="18" spans="1:34" ht="41.25" customHeight="1">
      <c r="A18" s="14">
        <v>16</v>
      </c>
      <c r="B18" s="14" t="s">
        <v>86</v>
      </c>
      <c r="C18" s="14">
        <v>3</v>
      </c>
      <c r="D18" s="14">
        <v>12</v>
      </c>
      <c r="E18" s="14">
        <v>45</v>
      </c>
      <c r="F18" s="15" t="s">
        <v>17</v>
      </c>
      <c r="G18" s="16">
        <v>0.1</v>
      </c>
      <c r="H18" s="16">
        <v>0.8</v>
      </c>
      <c r="I18" s="15" t="s">
        <v>18</v>
      </c>
      <c r="J18" s="15">
        <v>100</v>
      </c>
      <c r="K18" s="15">
        <v>120</v>
      </c>
      <c r="L18" s="15">
        <v>2</v>
      </c>
      <c r="M18" s="15">
        <f t="shared" si="0"/>
        <v>240</v>
      </c>
      <c r="N18" s="54" t="s">
        <v>87</v>
      </c>
      <c r="O18" s="18">
        <v>0.5</v>
      </c>
      <c r="P18" s="19" t="s">
        <v>31</v>
      </c>
      <c r="Q18" s="19">
        <v>180</v>
      </c>
      <c r="R18" s="19">
        <v>0</v>
      </c>
      <c r="S18" s="19">
        <v>1</v>
      </c>
      <c r="T18" s="19">
        <f t="shared" si="1"/>
        <v>0</v>
      </c>
      <c r="U18" s="20" t="s">
        <v>17</v>
      </c>
      <c r="V18" s="21">
        <v>0.8</v>
      </c>
      <c r="W18" s="55" t="s">
        <v>27</v>
      </c>
      <c r="X18" s="20"/>
      <c r="Y18" s="25">
        <v>200</v>
      </c>
      <c r="Z18" s="20">
        <v>9</v>
      </c>
      <c r="AA18" s="20">
        <f t="shared" si="2"/>
        <v>1800</v>
      </c>
      <c r="AB18" s="15" t="s">
        <v>88</v>
      </c>
      <c r="AC18" s="15" t="s">
        <v>88</v>
      </c>
      <c r="AD18" s="15" t="s">
        <v>88</v>
      </c>
      <c r="AE18" s="15"/>
      <c r="AF18" s="15">
        <v>200</v>
      </c>
      <c r="AG18" s="15">
        <v>0</v>
      </c>
      <c r="AH18" s="15">
        <f t="shared" si="3"/>
        <v>0</v>
      </c>
    </row>
    <row r="19" spans="1:34" ht="41.25" customHeight="1">
      <c r="A19" s="14"/>
      <c r="B19" s="14"/>
      <c r="C19" s="14"/>
      <c r="D19" s="14"/>
      <c r="E19" s="14"/>
      <c r="F19" s="15"/>
      <c r="G19" s="15"/>
      <c r="H19" s="15"/>
      <c r="I19" s="15"/>
      <c r="J19" s="15"/>
      <c r="K19" s="15"/>
      <c r="L19" s="15"/>
      <c r="M19" s="15"/>
      <c r="N19" s="19"/>
      <c r="O19" s="19"/>
      <c r="P19" s="19"/>
      <c r="Q19" s="19"/>
      <c r="R19" s="19"/>
      <c r="S19" s="19"/>
      <c r="T19" s="19"/>
      <c r="U19" s="20"/>
      <c r="V19" s="20"/>
      <c r="W19" s="20"/>
      <c r="X19" s="20"/>
      <c r="Y19" s="20"/>
      <c r="Z19" s="20"/>
      <c r="AA19" s="20"/>
      <c r="AB19" s="15"/>
      <c r="AC19" s="15"/>
      <c r="AD19" s="15"/>
      <c r="AE19" s="15"/>
      <c r="AF19" s="15"/>
      <c r="AG19" s="15"/>
      <c r="AH19" s="15"/>
    </row>
    <row r="20" spans="1:34" ht="41.25" customHeight="1">
      <c r="A20" t="s">
        <v>333</v>
      </c>
      <c r="L20">
        <f>SUM(L3:L19)</f>
        <v>92</v>
      </c>
      <c r="M20">
        <f>SUM(M3:M19)</f>
        <v>11040</v>
      </c>
      <c r="R20">
        <f>SUM(R3:R19)</f>
        <v>760</v>
      </c>
      <c r="S20">
        <f>SUM(S3:S19)</f>
        <v>16</v>
      </c>
      <c r="T20">
        <f>SUM(T3:T19)</f>
        <v>760</v>
      </c>
      <c r="Z20">
        <f>SUM(Z3:Z18)</f>
        <v>152</v>
      </c>
      <c r="AA20">
        <f>SUM(AA3:AA19)</f>
        <v>42200</v>
      </c>
      <c r="AG20">
        <f>SUM(AG3:AG18)</f>
        <v>29</v>
      </c>
      <c r="AH20">
        <f>SUM(AH3:AH18)</f>
        <v>5800</v>
      </c>
    </row>
    <row r="21" spans="1:34" ht="41.25" customHeight="1"/>
  </sheetData>
  <mergeCells count="5">
    <mergeCell ref="F1:M1"/>
    <mergeCell ref="A1:E1"/>
    <mergeCell ref="AB1:AH1"/>
    <mergeCell ref="U1:AA1"/>
    <mergeCell ref="N1:T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60BD-E7CA-BC43-AC57-8E6A5D56F59E}">
  <dimension ref="A1:N24"/>
  <sheetViews>
    <sheetView topLeftCell="A16" zoomScale="127" zoomScaleNormal="127" workbookViewId="0">
      <selection activeCell="F24" sqref="F24"/>
    </sheetView>
  </sheetViews>
  <sheetFormatPr baseColWidth="10" defaultRowHeight="16"/>
  <cols>
    <col min="3" max="3" width="16.83203125" customWidth="1"/>
    <col min="4" max="4" width="15" customWidth="1"/>
    <col min="5" max="5" width="13.33203125" customWidth="1"/>
    <col min="7" max="7" width="19.1640625" customWidth="1"/>
    <col min="8" max="8" width="13.1640625" customWidth="1"/>
    <col min="9" max="9" width="10"/>
    <col min="10" max="10" width="13.6640625" customWidth="1"/>
    <col min="11" max="11" width="15.33203125" customWidth="1"/>
    <col min="12" max="12" width="11.5" customWidth="1"/>
    <col min="13" max="13" width="10"/>
    <col min="14" max="14" width="19.1640625" customWidth="1"/>
  </cols>
  <sheetData>
    <row r="1" spans="1:14">
      <c r="A1" s="112" t="s">
        <v>323</v>
      </c>
      <c r="B1" s="108"/>
      <c r="C1" s="108"/>
      <c r="D1" s="108"/>
      <c r="E1" s="108"/>
      <c r="F1" s="108"/>
      <c r="G1" s="108"/>
      <c r="H1" s="113" t="s">
        <v>324</v>
      </c>
      <c r="I1" s="108"/>
      <c r="J1" s="108"/>
      <c r="K1" s="108"/>
      <c r="L1" s="108"/>
      <c r="M1" s="108"/>
      <c r="N1" s="108"/>
    </row>
    <row r="2" spans="1:14" ht="28">
      <c r="A2" s="6" t="s">
        <v>13</v>
      </c>
      <c r="B2" s="6" t="s">
        <v>15</v>
      </c>
      <c r="C2" s="6" t="s">
        <v>7</v>
      </c>
      <c r="D2" s="57" t="s">
        <v>322</v>
      </c>
      <c r="E2" s="6" t="s">
        <v>332</v>
      </c>
      <c r="F2" s="6" t="s">
        <v>9</v>
      </c>
      <c r="G2" s="6" t="s">
        <v>318</v>
      </c>
      <c r="H2" s="56" t="s">
        <v>13</v>
      </c>
      <c r="I2" s="56" t="s">
        <v>14</v>
      </c>
      <c r="J2" s="56" t="s">
        <v>7</v>
      </c>
      <c r="K2" s="58" t="s">
        <v>322</v>
      </c>
      <c r="L2" s="56" t="s">
        <v>332</v>
      </c>
      <c r="M2" s="56" t="s">
        <v>9</v>
      </c>
      <c r="N2" s="59" t="s">
        <v>12</v>
      </c>
    </row>
    <row r="3" spans="1:14" ht="42">
      <c r="A3" s="19" t="s">
        <v>23</v>
      </c>
      <c r="B3" s="19" t="s">
        <v>17</v>
      </c>
      <c r="C3" s="60" t="s">
        <v>25</v>
      </c>
      <c r="D3" s="19">
        <v>7200</v>
      </c>
      <c r="E3" s="19">
        <v>1000</v>
      </c>
      <c r="F3" s="19">
        <v>18</v>
      </c>
      <c r="G3" s="19">
        <f t="shared" ref="G3:G23" si="0">E3*F3</f>
        <v>18000</v>
      </c>
      <c r="H3" s="61" t="s">
        <v>23</v>
      </c>
      <c r="I3" s="61" t="s">
        <v>24</v>
      </c>
      <c r="J3" s="62" t="s">
        <v>25</v>
      </c>
      <c r="K3" s="61">
        <v>1200</v>
      </c>
      <c r="L3" s="61">
        <v>0</v>
      </c>
      <c r="M3" s="61">
        <v>18</v>
      </c>
      <c r="N3" s="61">
        <f t="shared" ref="N3:N23" si="1">L3*M3</f>
        <v>0</v>
      </c>
    </row>
    <row r="4" spans="1:14" ht="42">
      <c r="A4" s="19" t="s">
        <v>28</v>
      </c>
      <c r="B4" s="19" t="s">
        <v>17</v>
      </c>
      <c r="C4" s="63" t="s">
        <v>29</v>
      </c>
      <c r="D4" s="19">
        <v>7200</v>
      </c>
      <c r="E4" s="19">
        <v>1000</v>
      </c>
      <c r="F4" s="19">
        <v>3</v>
      </c>
      <c r="G4" s="19">
        <f t="shared" si="0"/>
        <v>3000</v>
      </c>
      <c r="H4" s="61" t="s">
        <v>28</v>
      </c>
      <c r="I4" s="61" t="s">
        <v>24</v>
      </c>
      <c r="J4" s="64" t="s">
        <v>29</v>
      </c>
      <c r="K4" s="61">
        <v>1200</v>
      </c>
      <c r="L4" s="61">
        <v>0</v>
      </c>
      <c r="M4" s="61">
        <v>3</v>
      </c>
      <c r="N4" s="61">
        <f t="shared" si="1"/>
        <v>0</v>
      </c>
    </row>
    <row r="5" spans="1:14" ht="42">
      <c r="A5" s="19" t="s">
        <v>34</v>
      </c>
      <c r="B5" s="19" t="s">
        <v>17</v>
      </c>
      <c r="C5" s="65" t="s">
        <v>35</v>
      </c>
      <c r="D5" s="19">
        <v>7200</v>
      </c>
      <c r="E5" s="19">
        <v>1000</v>
      </c>
      <c r="F5" s="19">
        <v>3</v>
      </c>
      <c r="G5" s="19">
        <f t="shared" si="0"/>
        <v>3000</v>
      </c>
      <c r="H5" s="61" t="s">
        <v>34</v>
      </c>
      <c r="I5" s="61" t="s">
        <v>24</v>
      </c>
      <c r="J5" s="66" t="s">
        <v>35</v>
      </c>
      <c r="K5" s="61">
        <v>1200</v>
      </c>
      <c r="L5" s="61">
        <v>0</v>
      </c>
      <c r="M5" s="61">
        <v>3</v>
      </c>
      <c r="N5" s="61">
        <f t="shared" si="1"/>
        <v>0</v>
      </c>
    </row>
    <row r="6" spans="1:14" ht="42">
      <c r="A6" s="19" t="s">
        <v>37</v>
      </c>
      <c r="B6" s="19" t="s">
        <v>17</v>
      </c>
      <c r="C6" s="67" t="s">
        <v>38</v>
      </c>
      <c r="D6" s="19">
        <v>7200</v>
      </c>
      <c r="E6" s="19">
        <v>1000</v>
      </c>
      <c r="F6" s="19">
        <v>3</v>
      </c>
      <c r="G6" s="19">
        <f t="shared" si="0"/>
        <v>3000</v>
      </c>
      <c r="H6" s="61" t="s">
        <v>37</v>
      </c>
      <c r="I6" s="61" t="s">
        <v>24</v>
      </c>
      <c r="J6" s="68" t="s">
        <v>38</v>
      </c>
      <c r="K6" s="61">
        <v>1200</v>
      </c>
      <c r="L6" s="61">
        <v>0</v>
      </c>
      <c r="M6" s="61">
        <v>3</v>
      </c>
      <c r="N6" s="61">
        <f t="shared" si="1"/>
        <v>0</v>
      </c>
    </row>
    <row r="7" spans="1:14" ht="42">
      <c r="A7" s="19" t="s">
        <v>42</v>
      </c>
      <c r="B7" s="19" t="s">
        <v>17</v>
      </c>
      <c r="C7" s="69" t="s">
        <v>43</v>
      </c>
      <c r="D7" s="19">
        <v>7200</v>
      </c>
      <c r="E7" s="19">
        <v>1000</v>
      </c>
      <c r="F7" s="19">
        <v>3</v>
      </c>
      <c r="G7" s="19">
        <f t="shared" si="0"/>
        <v>3000</v>
      </c>
      <c r="H7" s="61" t="s">
        <v>42</v>
      </c>
      <c r="I7" s="61" t="s">
        <v>24</v>
      </c>
      <c r="J7" s="70" t="s">
        <v>43</v>
      </c>
      <c r="K7" s="61">
        <v>1200</v>
      </c>
      <c r="L7" s="61">
        <v>0</v>
      </c>
      <c r="M7" s="61">
        <v>3</v>
      </c>
      <c r="N7" s="61">
        <f t="shared" si="1"/>
        <v>0</v>
      </c>
    </row>
    <row r="8" spans="1:14" ht="42">
      <c r="A8" s="19" t="s">
        <v>46</v>
      </c>
      <c r="B8" s="19" t="s">
        <v>17</v>
      </c>
      <c r="C8" s="71" t="s">
        <v>47</v>
      </c>
      <c r="D8" s="19">
        <v>7200</v>
      </c>
      <c r="E8" s="19">
        <v>1000</v>
      </c>
      <c r="F8" s="19">
        <v>9</v>
      </c>
      <c r="G8" s="19">
        <f t="shared" si="0"/>
        <v>9000</v>
      </c>
      <c r="H8" s="61" t="s">
        <v>46</v>
      </c>
      <c r="I8" s="61" t="s">
        <v>24</v>
      </c>
      <c r="J8" s="72" t="s">
        <v>47</v>
      </c>
      <c r="K8" s="61">
        <v>1200</v>
      </c>
      <c r="L8" s="61">
        <v>0</v>
      </c>
      <c r="M8" s="61">
        <v>9</v>
      </c>
      <c r="N8" s="61">
        <f t="shared" si="1"/>
        <v>0</v>
      </c>
    </row>
    <row r="9" spans="1:14" ht="42">
      <c r="A9" s="19" t="s">
        <v>50</v>
      </c>
      <c r="B9" s="19" t="s">
        <v>17</v>
      </c>
      <c r="C9" s="73" t="s">
        <v>51</v>
      </c>
      <c r="D9" s="19">
        <v>7200</v>
      </c>
      <c r="E9" s="19">
        <v>1000</v>
      </c>
      <c r="F9" s="19">
        <v>9</v>
      </c>
      <c r="G9" s="19">
        <f t="shared" si="0"/>
        <v>9000</v>
      </c>
      <c r="H9" s="61" t="s">
        <v>50</v>
      </c>
      <c r="I9" s="61" t="s">
        <v>24</v>
      </c>
      <c r="J9" s="74" t="s">
        <v>51</v>
      </c>
      <c r="K9" s="61">
        <v>1200</v>
      </c>
      <c r="L9" s="61">
        <v>0</v>
      </c>
      <c r="M9" s="61">
        <v>9</v>
      </c>
      <c r="N9" s="61">
        <f t="shared" si="1"/>
        <v>0</v>
      </c>
    </row>
    <row r="10" spans="1:14" ht="42">
      <c r="A10" s="19" t="s">
        <v>57</v>
      </c>
      <c r="B10" s="19" t="s">
        <v>17</v>
      </c>
      <c r="C10" s="75" t="s">
        <v>58</v>
      </c>
      <c r="D10" s="19">
        <v>7200</v>
      </c>
      <c r="E10" s="19">
        <v>1000</v>
      </c>
      <c r="F10" s="19">
        <v>6</v>
      </c>
      <c r="G10" s="19">
        <f t="shared" si="0"/>
        <v>6000</v>
      </c>
      <c r="H10" s="61" t="s">
        <v>57</v>
      </c>
      <c r="I10" s="61" t="s">
        <v>24</v>
      </c>
      <c r="J10" s="76" t="s">
        <v>58</v>
      </c>
      <c r="K10" s="61">
        <v>1200</v>
      </c>
      <c r="L10" s="61">
        <v>0</v>
      </c>
      <c r="M10" s="61">
        <v>6</v>
      </c>
      <c r="N10" s="61">
        <f t="shared" si="1"/>
        <v>0</v>
      </c>
    </row>
    <row r="11" spans="1:14" ht="42">
      <c r="A11" s="19" t="s">
        <v>61</v>
      </c>
      <c r="B11" s="19" t="s">
        <v>17</v>
      </c>
      <c r="C11" s="77" t="s">
        <v>62</v>
      </c>
      <c r="D11" s="19">
        <v>7200</v>
      </c>
      <c r="E11" s="19">
        <v>1000</v>
      </c>
      <c r="F11" s="19">
        <v>5</v>
      </c>
      <c r="G11" s="19">
        <f t="shared" si="0"/>
        <v>5000</v>
      </c>
      <c r="H11" s="61" t="s">
        <v>61</v>
      </c>
      <c r="I11" s="61" t="s">
        <v>24</v>
      </c>
      <c r="J11" s="78" t="s">
        <v>62</v>
      </c>
      <c r="K11" s="61">
        <v>1200</v>
      </c>
      <c r="L11" s="61">
        <v>0</v>
      </c>
      <c r="M11" s="61">
        <v>5</v>
      </c>
      <c r="N11" s="61">
        <f t="shared" si="1"/>
        <v>0</v>
      </c>
    </row>
    <row r="12" spans="1:14" ht="42">
      <c r="A12" s="19" t="s">
        <v>66</v>
      </c>
      <c r="B12" s="19" t="s">
        <v>17</v>
      </c>
      <c r="C12" s="79" t="s">
        <v>67</v>
      </c>
      <c r="D12" s="19">
        <v>7200</v>
      </c>
      <c r="E12" s="19">
        <v>1000</v>
      </c>
      <c r="F12" s="19">
        <v>8</v>
      </c>
      <c r="G12" s="19">
        <f t="shared" si="0"/>
        <v>8000</v>
      </c>
      <c r="H12" s="61" t="s">
        <v>66</v>
      </c>
      <c r="I12" s="61" t="s">
        <v>24</v>
      </c>
      <c r="J12" s="80" t="s">
        <v>67</v>
      </c>
      <c r="K12" s="61">
        <v>1200</v>
      </c>
      <c r="L12" s="61">
        <v>0</v>
      </c>
      <c r="M12" s="61">
        <v>8</v>
      </c>
      <c r="N12" s="61">
        <f t="shared" si="1"/>
        <v>0</v>
      </c>
    </row>
    <row r="13" spans="1:14" ht="42">
      <c r="A13" s="19" t="s">
        <v>71</v>
      </c>
      <c r="B13" s="19" t="s">
        <v>17</v>
      </c>
      <c r="C13" s="81" t="s">
        <v>72</v>
      </c>
      <c r="D13" s="19">
        <v>7200</v>
      </c>
      <c r="E13" s="19">
        <v>1000</v>
      </c>
      <c r="F13" s="19">
        <v>8</v>
      </c>
      <c r="G13" s="19">
        <f t="shared" si="0"/>
        <v>8000</v>
      </c>
      <c r="H13" s="61" t="s">
        <v>71</v>
      </c>
      <c r="I13" s="61" t="s">
        <v>24</v>
      </c>
      <c r="J13" s="82" t="s">
        <v>72</v>
      </c>
      <c r="K13" s="61">
        <v>1200</v>
      </c>
      <c r="L13" s="61">
        <v>0</v>
      </c>
      <c r="M13" s="61">
        <v>8</v>
      </c>
      <c r="N13" s="61">
        <f t="shared" si="1"/>
        <v>0</v>
      </c>
    </row>
    <row r="14" spans="1:14" ht="42">
      <c r="A14" s="19" t="s">
        <v>74</v>
      </c>
      <c r="B14" s="19" t="s">
        <v>17</v>
      </c>
      <c r="C14" s="83" t="s">
        <v>75</v>
      </c>
      <c r="D14" s="19">
        <v>7200</v>
      </c>
      <c r="E14" s="19">
        <v>1000</v>
      </c>
      <c r="F14" s="19">
        <v>8</v>
      </c>
      <c r="G14" s="19">
        <f t="shared" si="0"/>
        <v>8000</v>
      </c>
      <c r="H14" s="61" t="s">
        <v>74</v>
      </c>
      <c r="I14" s="61" t="s">
        <v>24</v>
      </c>
      <c r="J14" s="84" t="s">
        <v>75</v>
      </c>
      <c r="K14" s="61">
        <v>1200</v>
      </c>
      <c r="L14" s="61">
        <v>0</v>
      </c>
      <c r="M14" s="61">
        <v>8</v>
      </c>
      <c r="N14" s="61">
        <f t="shared" si="1"/>
        <v>0</v>
      </c>
    </row>
    <row r="15" spans="1:14" ht="42">
      <c r="A15" s="19" t="s">
        <v>77</v>
      </c>
      <c r="B15" s="19" t="s">
        <v>17</v>
      </c>
      <c r="C15" s="85" t="s">
        <v>78</v>
      </c>
      <c r="D15" s="19">
        <v>7200</v>
      </c>
      <c r="E15" s="19">
        <v>1000</v>
      </c>
      <c r="F15" s="19">
        <v>3</v>
      </c>
      <c r="G15" s="19">
        <f t="shared" si="0"/>
        <v>3000</v>
      </c>
      <c r="H15" s="61" t="s">
        <v>77</v>
      </c>
      <c r="I15" s="61" t="s">
        <v>24</v>
      </c>
      <c r="J15" s="86" t="s">
        <v>78</v>
      </c>
      <c r="K15" s="61">
        <v>1200</v>
      </c>
      <c r="L15" s="61">
        <v>0</v>
      </c>
      <c r="M15" s="61">
        <v>3</v>
      </c>
      <c r="N15" s="61">
        <f t="shared" si="1"/>
        <v>0</v>
      </c>
    </row>
    <row r="16" spans="1:14" ht="42">
      <c r="A16" s="19" t="s">
        <v>80</v>
      </c>
      <c r="B16" s="19" t="s">
        <v>17</v>
      </c>
      <c r="C16" s="87" t="s">
        <v>81</v>
      </c>
      <c r="D16" s="19">
        <v>7200</v>
      </c>
      <c r="E16" s="19">
        <v>1000</v>
      </c>
      <c r="F16" s="19">
        <v>10</v>
      </c>
      <c r="G16" s="19">
        <f t="shared" si="0"/>
        <v>10000</v>
      </c>
      <c r="H16" s="61" t="s">
        <v>80</v>
      </c>
      <c r="I16" s="61" t="s">
        <v>24</v>
      </c>
      <c r="J16" s="88" t="s">
        <v>81</v>
      </c>
      <c r="K16" s="61">
        <v>1200</v>
      </c>
      <c r="L16" s="61">
        <v>0</v>
      </c>
      <c r="M16" s="61">
        <v>10</v>
      </c>
      <c r="N16" s="61">
        <f t="shared" si="1"/>
        <v>0</v>
      </c>
    </row>
    <row r="17" spans="1:14" ht="42">
      <c r="A17" s="19" t="s">
        <v>84</v>
      </c>
      <c r="B17" s="19" t="s">
        <v>17</v>
      </c>
      <c r="C17" s="89" t="s">
        <v>85</v>
      </c>
      <c r="D17" s="19">
        <v>7200</v>
      </c>
      <c r="E17" s="19">
        <v>1000</v>
      </c>
      <c r="F17" s="19">
        <v>4</v>
      </c>
      <c r="G17" s="19">
        <f t="shared" si="0"/>
        <v>4000</v>
      </c>
      <c r="H17" s="61" t="s">
        <v>84</v>
      </c>
      <c r="I17" s="61" t="s">
        <v>24</v>
      </c>
      <c r="J17" s="90" t="s">
        <v>85</v>
      </c>
      <c r="K17" s="61">
        <v>1200</v>
      </c>
      <c r="L17" s="61">
        <v>0</v>
      </c>
      <c r="M17" s="61">
        <v>4</v>
      </c>
      <c r="N17" s="61">
        <f t="shared" si="1"/>
        <v>0</v>
      </c>
    </row>
    <row r="18" spans="1:14" ht="42">
      <c r="A18" s="19" t="s">
        <v>89</v>
      </c>
      <c r="B18" s="19" t="s">
        <v>17</v>
      </c>
      <c r="C18" s="91" t="s">
        <v>90</v>
      </c>
      <c r="D18" s="19">
        <v>7200</v>
      </c>
      <c r="E18" s="19">
        <v>1000</v>
      </c>
      <c r="F18" s="19">
        <v>4</v>
      </c>
      <c r="G18" s="19">
        <f t="shared" si="0"/>
        <v>4000</v>
      </c>
      <c r="H18" s="61" t="s">
        <v>89</v>
      </c>
      <c r="I18" s="61" t="s">
        <v>24</v>
      </c>
      <c r="J18" s="92" t="s">
        <v>90</v>
      </c>
      <c r="K18" s="61">
        <v>1200</v>
      </c>
      <c r="L18" s="61">
        <v>0</v>
      </c>
      <c r="M18" s="61">
        <v>4</v>
      </c>
      <c r="N18" s="61">
        <f t="shared" si="1"/>
        <v>0</v>
      </c>
    </row>
    <row r="19" spans="1:14" ht="42">
      <c r="A19" s="19" t="s">
        <v>91</v>
      </c>
      <c r="B19" s="19" t="s">
        <v>17</v>
      </c>
      <c r="C19" s="93" t="s">
        <v>92</v>
      </c>
      <c r="D19" s="19">
        <v>7200</v>
      </c>
      <c r="E19" s="19">
        <v>1000</v>
      </c>
      <c r="F19" s="19">
        <v>3</v>
      </c>
      <c r="G19" s="19">
        <f t="shared" si="0"/>
        <v>3000</v>
      </c>
      <c r="H19" s="61" t="s">
        <v>91</v>
      </c>
      <c r="I19" s="61" t="s">
        <v>24</v>
      </c>
      <c r="J19" s="94" t="s">
        <v>92</v>
      </c>
      <c r="K19" s="61">
        <v>1200</v>
      </c>
      <c r="L19" s="61">
        <v>0</v>
      </c>
      <c r="M19" s="61">
        <v>3</v>
      </c>
      <c r="N19" s="61">
        <f t="shared" si="1"/>
        <v>0</v>
      </c>
    </row>
    <row r="20" spans="1:14" ht="42">
      <c r="A20" s="19" t="s">
        <v>93</v>
      </c>
      <c r="B20" s="19" t="s">
        <v>17</v>
      </c>
      <c r="C20" s="95" t="s">
        <v>94</v>
      </c>
      <c r="D20" s="19">
        <v>7200</v>
      </c>
      <c r="E20" s="19">
        <v>1000</v>
      </c>
      <c r="F20" s="19">
        <v>4</v>
      </c>
      <c r="G20" s="19">
        <f t="shared" si="0"/>
        <v>4000</v>
      </c>
      <c r="H20" s="61" t="s">
        <v>93</v>
      </c>
      <c r="I20" s="61" t="s">
        <v>24</v>
      </c>
      <c r="J20" s="96" t="s">
        <v>94</v>
      </c>
      <c r="K20" s="61">
        <v>1200</v>
      </c>
      <c r="L20" s="61">
        <v>0</v>
      </c>
      <c r="M20" s="61">
        <v>4</v>
      </c>
      <c r="N20" s="61">
        <f t="shared" si="1"/>
        <v>0</v>
      </c>
    </row>
    <row r="21" spans="1:14" ht="42">
      <c r="A21" s="19" t="s">
        <v>95</v>
      </c>
      <c r="B21" s="19" t="s">
        <v>17</v>
      </c>
      <c r="C21" s="97" t="s">
        <v>96</v>
      </c>
      <c r="D21" s="19">
        <v>7200</v>
      </c>
      <c r="E21" s="19">
        <v>1000</v>
      </c>
      <c r="F21" s="19">
        <v>4</v>
      </c>
      <c r="G21" s="19">
        <f t="shared" si="0"/>
        <v>4000</v>
      </c>
      <c r="H21" s="61" t="s">
        <v>95</v>
      </c>
      <c r="I21" s="61" t="s">
        <v>24</v>
      </c>
      <c r="J21" s="98" t="s">
        <v>96</v>
      </c>
      <c r="K21" s="61">
        <v>1200</v>
      </c>
      <c r="L21" s="61">
        <v>0</v>
      </c>
      <c r="M21" s="61">
        <v>4</v>
      </c>
      <c r="N21" s="61">
        <f t="shared" si="1"/>
        <v>0</v>
      </c>
    </row>
    <row r="22" spans="1:14" ht="42">
      <c r="A22" s="19" t="s">
        <v>97</v>
      </c>
      <c r="B22" s="19" t="s">
        <v>17</v>
      </c>
      <c r="C22" s="99" t="s">
        <v>98</v>
      </c>
      <c r="D22" s="19">
        <v>7200</v>
      </c>
      <c r="E22" s="19">
        <v>1000</v>
      </c>
      <c r="F22" s="19">
        <v>5</v>
      </c>
      <c r="G22" s="19">
        <f t="shared" si="0"/>
        <v>5000</v>
      </c>
      <c r="H22" s="61" t="s">
        <v>97</v>
      </c>
      <c r="I22" s="61" t="s">
        <v>24</v>
      </c>
      <c r="J22" s="100" t="s">
        <v>98</v>
      </c>
      <c r="K22" s="61">
        <v>1200</v>
      </c>
      <c r="L22" s="61">
        <v>0</v>
      </c>
      <c r="M22" s="61">
        <v>5</v>
      </c>
      <c r="N22" s="61">
        <f t="shared" si="1"/>
        <v>0</v>
      </c>
    </row>
    <row r="23" spans="1:14" ht="42">
      <c r="A23" s="19" t="s">
        <v>99</v>
      </c>
      <c r="B23" s="19" t="s">
        <v>17</v>
      </c>
      <c r="C23" s="101" t="s">
        <v>100</v>
      </c>
      <c r="D23" s="19">
        <v>7200</v>
      </c>
      <c r="E23" s="19">
        <v>1000</v>
      </c>
      <c r="F23" s="19">
        <v>7</v>
      </c>
      <c r="G23" s="19">
        <f t="shared" si="0"/>
        <v>7000</v>
      </c>
      <c r="H23" s="61" t="s">
        <v>99</v>
      </c>
      <c r="I23" s="61" t="s">
        <v>24</v>
      </c>
      <c r="J23" s="102" t="s">
        <v>100</v>
      </c>
      <c r="K23" s="61">
        <v>1200</v>
      </c>
      <c r="L23" s="61">
        <v>0</v>
      </c>
      <c r="M23" s="61">
        <v>7</v>
      </c>
      <c r="N23" s="61">
        <f t="shared" si="1"/>
        <v>0</v>
      </c>
    </row>
    <row r="24" spans="1:14">
      <c r="A24" s="103" t="s">
        <v>333</v>
      </c>
      <c r="B24" s="103"/>
      <c r="C24" s="103"/>
      <c r="D24" s="103"/>
      <c r="E24" s="103"/>
      <c r="F24" s="103">
        <f>SUM(F3:F23)</f>
        <v>127</v>
      </c>
      <c r="G24" s="103">
        <f>SUM(G3:G23)</f>
        <v>127000</v>
      </c>
      <c r="H24" s="103"/>
      <c r="I24" s="103"/>
      <c r="J24" s="103"/>
      <c r="K24" s="103"/>
      <c r="L24" s="103"/>
      <c r="M24" s="103"/>
      <c r="N24" s="103"/>
    </row>
  </sheetData>
  <mergeCells count="2">
    <mergeCell ref="A1:G1"/>
    <mergeCell ref="H1:N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87AF-C8B2-4E49-8B00-49591E23A6A9}">
  <dimension ref="A1:D9"/>
  <sheetViews>
    <sheetView tabSelected="1" workbookViewId="0">
      <selection activeCell="H12" sqref="H12"/>
    </sheetView>
  </sheetViews>
  <sheetFormatPr baseColWidth="10" defaultRowHeight="16"/>
  <cols>
    <col min="1" max="1" width="20.1640625" customWidth="1"/>
    <col min="2" max="2" width="11" customWidth="1"/>
    <col min="4" max="4" width="25.33203125" customWidth="1"/>
  </cols>
  <sheetData>
    <row r="1" spans="1:4" ht="34">
      <c r="A1" s="103" t="s">
        <v>331</v>
      </c>
      <c r="B1" s="103" t="s">
        <v>328</v>
      </c>
      <c r="C1" s="104" t="s">
        <v>8</v>
      </c>
      <c r="D1" s="105" t="s">
        <v>318</v>
      </c>
    </row>
    <row r="2" spans="1:4">
      <c r="A2" s="103" t="s">
        <v>327</v>
      </c>
      <c r="B2" s="103">
        <v>1</v>
      </c>
      <c r="C2" s="103">
        <v>200</v>
      </c>
      <c r="D2" s="103">
        <f>C2*B2</f>
        <v>200</v>
      </c>
    </row>
    <row r="3" spans="1:4">
      <c r="A3" s="103" t="s">
        <v>326</v>
      </c>
      <c r="B3" s="103">
        <v>7</v>
      </c>
      <c r="C3" s="103">
        <v>200</v>
      </c>
      <c r="D3" s="103">
        <f t="shared" ref="D3:D8" si="0">C3*B3</f>
        <v>1400</v>
      </c>
    </row>
    <row r="4" spans="1:4">
      <c r="A4" s="103" t="s">
        <v>314</v>
      </c>
      <c r="B4" s="103">
        <v>5</v>
      </c>
      <c r="C4" s="103">
        <v>200</v>
      </c>
      <c r="D4" s="103">
        <f t="shared" si="0"/>
        <v>1000</v>
      </c>
    </row>
    <row r="5" spans="1:4">
      <c r="A5" s="103" t="s">
        <v>330</v>
      </c>
      <c r="B5" s="103">
        <v>3</v>
      </c>
      <c r="C5" s="103">
        <v>200</v>
      </c>
      <c r="D5" s="103">
        <f t="shared" si="0"/>
        <v>600</v>
      </c>
    </row>
    <row r="6" spans="1:4">
      <c r="A6" s="103" t="s">
        <v>329</v>
      </c>
      <c r="B6" s="103">
        <v>4</v>
      </c>
      <c r="C6" s="103">
        <v>200</v>
      </c>
      <c r="D6" s="103">
        <f t="shared" si="0"/>
        <v>800</v>
      </c>
    </row>
    <row r="7" spans="1:4">
      <c r="A7" s="103" t="s">
        <v>325</v>
      </c>
      <c r="B7" s="103">
        <v>10</v>
      </c>
      <c r="C7" s="103">
        <v>200</v>
      </c>
      <c r="D7" s="103">
        <f t="shared" si="0"/>
        <v>2000</v>
      </c>
    </row>
    <row r="8" spans="1:4">
      <c r="A8" s="106" t="s">
        <v>334</v>
      </c>
      <c r="B8" s="116">
        <v>146</v>
      </c>
      <c r="C8" s="116">
        <v>200</v>
      </c>
      <c r="D8" s="116">
        <f t="shared" si="0"/>
        <v>29200</v>
      </c>
    </row>
    <row r="9" spans="1:4">
      <c r="A9" s="106" t="s">
        <v>333</v>
      </c>
      <c r="B9">
        <f>SUM(B2:B8)</f>
        <v>176</v>
      </c>
      <c r="D9">
        <f>SUM(D2:D8)</f>
        <v>35200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8D0D-3D65-D349-8378-463C11B69773}">
  <sheetPr>
    <outlinePr summaryBelow="0" summaryRight="0"/>
  </sheetPr>
  <dimension ref="A1:B200"/>
  <sheetViews>
    <sheetView workbookViewId="0"/>
  </sheetViews>
  <sheetFormatPr baseColWidth="10" defaultColWidth="10" defaultRowHeight="16.5" customHeight="1"/>
  <cols>
    <col min="1" max="1" width="21.1640625"/>
    <col min="2" max="2" width="26.5"/>
  </cols>
  <sheetData>
    <row r="1" spans="1:2" ht="16.5" customHeight="1">
      <c r="A1" s="2" t="s">
        <v>1</v>
      </c>
      <c r="B1" s="2" t="s">
        <v>101</v>
      </c>
    </row>
    <row r="2" spans="1:2" ht="16.5" customHeight="1">
      <c r="A2" s="114" t="s">
        <v>102</v>
      </c>
      <c r="B2" s="1" t="s">
        <v>103</v>
      </c>
    </row>
    <row r="3" spans="1:2" ht="16.5" customHeight="1">
      <c r="A3" s="115"/>
      <c r="B3" s="1" t="s">
        <v>104</v>
      </c>
    </row>
    <row r="4" spans="1:2" ht="16.5" customHeight="1">
      <c r="A4" s="115"/>
      <c r="B4" s="1" t="s">
        <v>105</v>
      </c>
    </row>
    <row r="5" spans="1:2" ht="16.5" customHeight="1">
      <c r="A5" s="115"/>
      <c r="B5" s="1" t="s">
        <v>106</v>
      </c>
    </row>
    <row r="6" spans="1:2" ht="16.5" customHeight="1">
      <c r="A6" s="115"/>
      <c r="B6" s="1" t="s">
        <v>107</v>
      </c>
    </row>
    <row r="7" spans="1:2" ht="16.5" customHeight="1">
      <c r="A7" s="115"/>
      <c r="B7" s="1" t="s">
        <v>108</v>
      </c>
    </row>
    <row r="8" spans="1:2" ht="16.5" customHeight="1">
      <c r="A8" s="115"/>
      <c r="B8" s="1" t="s">
        <v>109</v>
      </c>
    </row>
    <row r="9" spans="1:2" ht="16.5" customHeight="1">
      <c r="A9" s="115"/>
      <c r="B9" s="1" t="s">
        <v>110</v>
      </c>
    </row>
    <row r="10" spans="1:2" ht="16.5" customHeight="1">
      <c r="A10" s="115"/>
      <c r="B10" s="1" t="s">
        <v>111</v>
      </c>
    </row>
    <row r="11" spans="1:2" ht="16.5" customHeight="1">
      <c r="A11" s="115"/>
      <c r="B11" s="1" t="s">
        <v>112</v>
      </c>
    </row>
    <row r="12" spans="1:2" ht="16.5" customHeight="1">
      <c r="A12" s="115"/>
      <c r="B12" s="1" t="s">
        <v>113</v>
      </c>
    </row>
    <row r="13" spans="1:2" ht="16.5" customHeight="1">
      <c r="A13" s="115"/>
      <c r="B13" s="1" t="s">
        <v>114</v>
      </c>
    </row>
    <row r="14" spans="1:2" ht="16.5" customHeight="1">
      <c r="A14" s="115"/>
      <c r="B14" s="1" t="s">
        <v>115</v>
      </c>
    </row>
    <row r="15" spans="1:2" ht="16.5" customHeight="1">
      <c r="A15" s="115"/>
      <c r="B15" s="1" t="s">
        <v>116</v>
      </c>
    </row>
    <row r="16" spans="1:2" ht="16.5" customHeight="1">
      <c r="A16" s="115"/>
      <c r="B16" s="1" t="s">
        <v>117</v>
      </c>
    </row>
    <row r="17" spans="1:2" ht="16.5" customHeight="1">
      <c r="A17" s="115"/>
      <c r="B17" s="1" t="s">
        <v>118</v>
      </c>
    </row>
    <row r="18" spans="1:2" ht="16.5" customHeight="1">
      <c r="A18" s="115"/>
      <c r="B18" s="1" t="s">
        <v>119</v>
      </c>
    </row>
    <row r="19" spans="1:2" ht="16.5" customHeight="1">
      <c r="A19" s="115"/>
      <c r="B19" s="1" t="s">
        <v>120</v>
      </c>
    </row>
    <row r="20" spans="1:2" ht="16.5" customHeight="1">
      <c r="A20" s="115"/>
      <c r="B20" s="1" t="s">
        <v>121</v>
      </c>
    </row>
    <row r="21" spans="1:2" ht="16.5" customHeight="1">
      <c r="A21" s="115"/>
      <c r="B21" s="1" t="s">
        <v>122</v>
      </c>
    </row>
    <row r="22" spans="1:2" ht="16.5" customHeight="1">
      <c r="A22" s="115"/>
      <c r="B22" s="1" t="s">
        <v>123</v>
      </c>
    </row>
    <row r="23" spans="1:2" ht="16.5" customHeight="1">
      <c r="A23" s="115"/>
      <c r="B23" s="1" t="s">
        <v>124</v>
      </c>
    </row>
    <row r="24" spans="1:2" ht="16.5" customHeight="1">
      <c r="A24" s="115"/>
      <c r="B24" s="1" t="s">
        <v>125</v>
      </c>
    </row>
    <row r="25" spans="1:2" ht="16.5" customHeight="1">
      <c r="A25" s="114" t="s">
        <v>126</v>
      </c>
      <c r="B25" s="1" t="s">
        <v>127</v>
      </c>
    </row>
    <row r="26" spans="1:2" ht="16.5" customHeight="1">
      <c r="A26" s="115"/>
      <c r="B26" s="1" t="s">
        <v>128</v>
      </c>
    </row>
    <row r="27" spans="1:2" ht="16.5" customHeight="1">
      <c r="A27" s="115"/>
      <c r="B27" s="1" t="s">
        <v>129</v>
      </c>
    </row>
    <row r="28" spans="1:2" ht="16.5" customHeight="1">
      <c r="A28" s="115"/>
      <c r="B28" s="1" t="s">
        <v>130</v>
      </c>
    </row>
    <row r="29" spans="1:2" ht="16.5" customHeight="1">
      <c r="A29" s="115"/>
      <c r="B29" s="1" t="s">
        <v>131</v>
      </c>
    </row>
    <row r="30" spans="1:2" ht="16.5" customHeight="1">
      <c r="A30" s="115"/>
      <c r="B30" s="1" t="s">
        <v>132</v>
      </c>
    </row>
    <row r="31" spans="1:2" ht="16.5" customHeight="1">
      <c r="A31" s="115"/>
      <c r="B31" s="1" t="s">
        <v>133</v>
      </c>
    </row>
    <row r="32" spans="1:2" ht="16.5" customHeight="1">
      <c r="A32" s="115"/>
      <c r="B32" s="1" t="s">
        <v>134</v>
      </c>
    </row>
    <row r="33" spans="1:2" ht="16.5" customHeight="1">
      <c r="A33" s="114" t="s">
        <v>135</v>
      </c>
      <c r="B33" s="1" t="s">
        <v>136</v>
      </c>
    </row>
    <row r="34" spans="1:2" ht="16.5" customHeight="1">
      <c r="A34" s="115"/>
      <c r="B34" s="1" t="s">
        <v>137</v>
      </c>
    </row>
    <row r="35" spans="1:2" ht="16.5" customHeight="1">
      <c r="A35" s="115"/>
      <c r="B35" s="1" t="s">
        <v>138</v>
      </c>
    </row>
    <row r="36" spans="1:2" ht="16.5" customHeight="1">
      <c r="A36" s="115"/>
      <c r="B36" s="1" t="s">
        <v>139</v>
      </c>
    </row>
    <row r="37" spans="1:2" ht="16.5" customHeight="1">
      <c r="A37" s="115"/>
      <c r="B37" s="1" t="s">
        <v>140</v>
      </c>
    </row>
    <row r="38" spans="1:2" ht="16.5" customHeight="1">
      <c r="A38" s="115"/>
      <c r="B38" s="1" t="s">
        <v>141</v>
      </c>
    </row>
    <row r="39" spans="1:2" ht="16.5" customHeight="1">
      <c r="A39" s="115"/>
      <c r="B39" s="1" t="s">
        <v>142</v>
      </c>
    </row>
    <row r="40" spans="1:2" ht="16.5" customHeight="1">
      <c r="A40" s="115"/>
      <c r="B40" s="1" t="s">
        <v>143</v>
      </c>
    </row>
    <row r="41" spans="1:2" ht="16.5" customHeight="1">
      <c r="A41" s="115"/>
      <c r="B41" s="1" t="s">
        <v>144</v>
      </c>
    </row>
    <row r="42" spans="1:2" ht="16.5" customHeight="1">
      <c r="A42" s="115"/>
      <c r="B42" s="1" t="s">
        <v>145</v>
      </c>
    </row>
    <row r="43" spans="1:2" ht="16.5" customHeight="1">
      <c r="A43" s="115"/>
      <c r="B43" s="1" t="s">
        <v>146</v>
      </c>
    </row>
    <row r="44" spans="1:2" ht="16.5" customHeight="1">
      <c r="A44" s="115"/>
      <c r="B44" s="1" t="s">
        <v>147</v>
      </c>
    </row>
    <row r="45" spans="1:2" ht="16.5" customHeight="1">
      <c r="A45" s="115"/>
      <c r="B45" s="1" t="s">
        <v>148</v>
      </c>
    </row>
    <row r="46" spans="1:2" ht="16.5" customHeight="1">
      <c r="A46" s="115"/>
      <c r="B46" s="1" t="s">
        <v>149</v>
      </c>
    </row>
    <row r="47" spans="1:2" ht="16.5" customHeight="1">
      <c r="A47" s="115"/>
      <c r="B47" s="1" t="s">
        <v>150</v>
      </c>
    </row>
    <row r="48" spans="1:2" ht="16.5" customHeight="1">
      <c r="A48" s="114" t="s">
        <v>151</v>
      </c>
      <c r="B48" s="1" t="s">
        <v>152</v>
      </c>
    </row>
    <row r="49" spans="1:2" ht="16.5" customHeight="1">
      <c r="A49" s="115"/>
      <c r="B49" s="1" t="s">
        <v>153</v>
      </c>
    </row>
    <row r="50" spans="1:2" ht="16.5" customHeight="1">
      <c r="A50" s="115"/>
      <c r="B50" s="1" t="s">
        <v>154</v>
      </c>
    </row>
    <row r="51" spans="1:2" ht="16.5" customHeight="1">
      <c r="A51" s="115"/>
      <c r="B51" s="1" t="s">
        <v>155</v>
      </c>
    </row>
    <row r="52" spans="1:2" ht="16.5" customHeight="1">
      <c r="A52" s="115"/>
      <c r="B52" s="1" t="s">
        <v>156</v>
      </c>
    </row>
    <row r="53" spans="1:2" ht="16.5" customHeight="1">
      <c r="A53" s="115"/>
      <c r="B53" s="1" t="s">
        <v>157</v>
      </c>
    </row>
    <row r="54" spans="1:2" ht="16.5" customHeight="1">
      <c r="A54" s="115"/>
      <c r="B54" s="1" t="s">
        <v>158</v>
      </c>
    </row>
    <row r="55" spans="1:2" ht="16.5" customHeight="1">
      <c r="A55" s="114" t="s">
        <v>159</v>
      </c>
      <c r="B55" s="1" t="s">
        <v>160</v>
      </c>
    </row>
    <row r="56" spans="1:2" ht="16.5" customHeight="1">
      <c r="A56" s="115"/>
      <c r="B56" s="1" t="s">
        <v>161</v>
      </c>
    </row>
    <row r="57" spans="1:2" ht="16.5" customHeight="1">
      <c r="A57" s="115"/>
      <c r="B57" s="1" t="s">
        <v>162</v>
      </c>
    </row>
    <row r="58" spans="1:2" ht="16.5" customHeight="1">
      <c r="A58" s="115"/>
      <c r="B58" s="1" t="s">
        <v>163</v>
      </c>
    </row>
    <row r="59" spans="1:2" ht="16.5" customHeight="1">
      <c r="A59" s="115"/>
      <c r="B59" s="1" t="s">
        <v>164</v>
      </c>
    </row>
    <row r="60" spans="1:2" ht="16.5" customHeight="1">
      <c r="A60" s="115"/>
      <c r="B60" s="1" t="s">
        <v>165</v>
      </c>
    </row>
    <row r="61" spans="1:2" ht="16.5" customHeight="1">
      <c r="A61" s="115"/>
      <c r="B61" s="1" t="s">
        <v>166</v>
      </c>
    </row>
    <row r="62" spans="1:2" ht="16.5" customHeight="1">
      <c r="A62" s="115"/>
      <c r="B62" s="1" t="s">
        <v>167</v>
      </c>
    </row>
    <row r="63" spans="1:2" ht="16.5" customHeight="1">
      <c r="A63" s="115"/>
      <c r="B63" s="1" t="s">
        <v>168</v>
      </c>
    </row>
    <row r="64" spans="1:2" ht="16.5" customHeight="1">
      <c r="A64" s="115"/>
      <c r="B64" s="1" t="s">
        <v>169</v>
      </c>
    </row>
    <row r="65" spans="1:2" ht="16.5" customHeight="1">
      <c r="A65" s="115"/>
      <c r="B65" s="1" t="s">
        <v>170</v>
      </c>
    </row>
    <row r="66" spans="1:2" ht="16.5" customHeight="1">
      <c r="A66" s="115"/>
      <c r="B66" s="1" t="s">
        <v>171</v>
      </c>
    </row>
    <row r="67" spans="1:2" ht="16.5" customHeight="1">
      <c r="A67" s="114" t="s">
        <v>172</v>
      </c>
      <c r="B67" s="1" t="s">
        <v>173</v>
      </c>
    </row>
    <row r="68" spans="1:2" ht="16.5" customHeight="1">
      <c r="A68" s="115"/>
      <c r="B68" s="1" t="s">
        <v>174</v>
      </c>
    </row>
    <row r="69" spans="1:2" ht="16.5" customHeight="1">
      <c r="A69" s="115"/>
      <c r="B69" s="1" t="s">
        <v>175</v>
      </c>
    </row>
    <row r="70" spans="1:2" ht="16.5" customHeight="1">
      <c r="A70" s="115"/>
      <c r="B70" s="1" t="s">
        <v>176</v>
      </c>
    </row>
    <row r="71" spans="1:2" ht="16.5" customHeight="1">
      <c r="A71" s="115"/>
      <c r="B71" s="1" t="s">
        <v>172</v>
      </c>
    </row>
    <row r="72" spans="1:2" ht="16.5" customHeight="1">
      <c r="A72" s="115"/>
      <c r="B72" s="1" t="s">
        <v>177</v>
      </c>
    </row>
    <row r="73" spans="1:2" ht="16.5" customHeight="1">
      <c r="A73" s="115"/>
      <c r="B73" s="1" t="s">
        <v>178</v>
      </c>
    </row>
    <row r="74" spans="1:2" ht="16.5" customHeight="1">
      <c r="A74" s="115"/>
      <c r="B74" s="1" t="s">
        <v>179</v>
      </c>
    </row>
    <row r="75" spans="1:2" ht="16.5" customHeight="1">
      <c r="A75" s="115"/>
      <c r="B75" s="1" t="s">
        <v>180</v>
      </c>
    </row>
    <row r="76" spans="1:2" ht="16.5" customHeight="1">
      <c r="A76" s="115"/>
      <c r="B76" s="1" t="s">
        <v>181</v>
      </c>
    </row>
    <row r="77" spans="1:2" ht="16.5" customHeight="1">
      <c r="A77" s="114" t="s">
        <v>182</v>
      </c>
      <c r="B77" s="1" t="s">
        <v>183</v>
      </c>
    </row>
    <row r="78" spans="1:2" ht="16.5" customHeight="1">
      <c r="A78" s="115"/>
      <c r="B78" s="1" t="s">
        <v>184</v>
      </c>
    </row>
    <row r="79" spans="1:2" ht="16.5" customHeight="1">
      <c r="A79" s="115"/>
      <c r="B79" s="1" t="s">
        <v>185</v>
      </c>
    </row>
    <row r="80" spans="1:2" ht="16.5" customHeight="1">
      <c r="A80" s="115"/>
      <c r="B80" s="1" t="s">
        <v>186</v>
      </c>
    </row>
    <row r="81" spans="1:2" ht="16.5" customHeight="1">
      <c r="A81" s="115"/>
      <c r="B81" s="1" t="s">
        <v>187</v>
      </c>
    </row>
    <row r="82" spans="1:2" ht="16.5" customHeight="1">
      <c r="A82" s="115"/>
      <c r="B82" s="1" t="s">
        <v>188</v>
      </c>
    </row>
    <row r="83" spans="1:2" ht="16.5" customHeight="1">
      <c r="A83" s="115"/>
      <c r="B83" s="1" t="s">
        <v>189</v>
      </c>
    </row>
    <row r="84" spans="1:2" ht="16.5" customHeight="1">
      <c r="A84" s="115"/>
      <c r="B84" s="1" t="s">
        <v>189</v>
      </c>
    </row>
    <row r="85" spans="1:2" ht="16.5" customHeight="1">
      <c r="A85" s="115"/>
      <c r="B85" s="1" t="s">
        <v>190</v>
      </c>
    </row>
    <row r="86" spans="1:2" ht="16.5" customHeight="1">
      <c r="A86" s="115"/>
      <c r="B86" s="1" t="s">
        <v>191</v>
      </c>
    </row>
    <row r="87" spans="1:2" ht="16.5" customHeight="1">
      <c r="A87" s="115"/>
      <c r="B87" s="1" t="s">
        <v>192</v>
      </c>
    </row>
    <row r="88" spans="1:2" ht="16.5" customHeight="1">
      <c r="A88" s="115"/>
      <c r="B88" s="1" t="s">
        <v>193</v>
      </c>
    </row>
    <row r="89" spans="1:2" ht="16.5" customHeight="1">
      <c r="A89" s="115"/>
      <c r="B89" s="1" t="s">
        <v>194</v>
      </c>
    </row>
    <row r="90" spans="1:2" ht="16.5" customHeight="1">
      <c r="A90" s="115"/>
      <c r="B90" s="1" t="s">
        <v>195</v>
      </c>
    </row>
    <row r="91" spans="1:2" ht="16.5" customHeight="1">
      <c r="A91" s="115"/>
      <c r="B91" s="1" t="s">
        <v>196</v>
      </c>
    </row>
    <row r="92" spans="1:2" ht="16.5" customHeight="1">
      <c r="A92" s="115"/>
      <c r="B92" s="1" t="s">
        <v>197</v>
      </c>
    </row>
    <row r="93" spans="1:2" ht="16.5" customHeight="1">
      <c r="A93" s="115"/>
      <c r="B93" s="1" t="s">
        <v>198</v>
      </c>
    </row>
    <row r="94" spans="1:2" ht="16.5" customHeight="1">
      <c r="A94" s="115"/>
      <c r="B94" s="1" t="s">
        <v>199</v>
      </c>
    </row>
    <row r="95" spans="1:2" ht="16.5" customHeight="1">
      <c r="A95" s="115"/>
      <c r="B95" s="1" t="s">
        <v>200</v>
      </c>
    </row>
    <row r="96" spans="1:2" ht="16.5" customHeight="1">
      <c r="A96" s="115"/>
      <c r="B96" s="1" t="s">
        <v>201</v>
      </c>
    </row>
    <row r="97" spans="1:2" ht="16.5" customHeight="1">
      <c r="A97" s="115"/>
      <c r="B97" s="1" t="s">
        <v>202</v>
      </c>
    </row>
    <row r="98" spans="1:2" ht="16.5" customHeight="1">
      <c r="A98" s="115"/>
      <c r="B98" s="1" t="s">
        <v>203</v>
      </c>
    </row>
    <row r="99" spans="1:2" ht="16.5" customHeight="1">
      <c r="A99" s="115"/>
      <c r="B99" s="1" t="s">
        <v>204</v>
      </c>
    </row>
    <row r="100" spans="1:2" ht="16.5" customHeight="1">
      <c r="A100" s="115"/>
      <c r="B100" s="1" t="s">
        <v>205</v>
      </c>
    </row>
    <row r="101" spans="1:2" ht="16.5" customHeight="1">
      <c r="A101" s="115"/>
      <c r="B101" s="1" t="s">
        <v>206</v>
      </c>
    </row>
    <row r="102" spans="1:2" ht="16.5" customHeight="1">
      <c r="A102" s="115"/>
      <c r="B102" s="1" t="s">
        <v>207</v>
      </c>
    </row>
    <row r="103" spans="1:2" ht="16.5" customHeight="1">
      <c r="A103" s="115"/>
      <c r="B103" s="1" t="s">
        <v>208</v>
      </c>
    </row>
    <row r="104" spans="1:2" ht="16.5" customHeight="1">
      <c r="A104" s="115"/>
      <c r="B104" s="1" t="s">
        <v>209</v>
      </c>
    </row>
    <row r="105" spans="1:2" ht="16.5" customHeight="1">
      <c r="A105" s="115"/>
      <c r="B105" s="1" t="s">
        <v>210</v>
      </c>
    </row>
    <row r="106" spans="1:2" ht="16.5" customHeight="1">
      <c r="A106" s="115"/>
      <c r="B106" s="1" t="s">
        <v>211</v>
      </c>
    </row>
    <row r="107" spans="1:2" ht="16.5" customHeight="1">
      <c r="A107" s="115"/>
      <c r="B107" s="1" t="s">
        <v>212</v>
      </c>
    </row>
    <row r="108" spans="1:2" ht="16.5" customHeight="1">
      <c r="A108" s="115"/>
      <c r="B108" s="1" t="s">
        <v>213</v>
      </c>
    </row>
    <row r="109" spans="1:2" ht="16.5" customHeight="1">
      <c r="A109" s="115"/>
      <c r="B109" s="1" t="s">
        <v>214</v>
      </c>
    </row>
    <row r="110" spans="1:2" ht="16.5" customHeight="1">
      <c r="A110" s="115"/>
      <c r="B110" s="1" t="s">
        <v>215</v>
      </c>
    </row>
    <row r="111" spans="1:2" ht="16.5" customHeight="1">
      <c r="A111" s="115"/>
      <c r="B111" s="1" t="s">
        <v>216</v>
      </c>
    </row>
    <row r="112" spans="1:2" ht="16.5" customHeight="1">
      <c r="A112" s="115"/>
      <c r="B112" s="1" t="s">
        <v>217</v>
      </c>
    </row>
    <row r="113" spans="1:2" ht="16.5" customHeight="1">
      <c r="A113" s="115"/>
      <c r="B113" s="1" t="s">
        <v>218</v>
      </c>
    </row>
    <row r="114" spans="1:2" ht="16.5" customHeight="1">
      <c r="A114" s="115"/>
      <c r="B114" s="1" t="s">
        <v>219</v>
      </c>
    </row>
    <row r="115" spans="1:2" ht="16.5" customHeight="1">
      <c r="A115" s="115"/>
      <c r="B115" s="1" t="s">
        <v>220</v>
      </c>
    </row>
    <row r="116" spans="1:2" ht="16.5" customHeight="1">
      <c r="A116" s="115"/>
      <c r="B116" s="1" t="s">
        <v>221</v>
      </c>
    </row>
    <row r="117" spans="1:2" ht="16.5" customHeight="1">
      <c r="A117" s="115"/>
      <c r="B117" s="1" t="s">
        <v>222</v>
      </c>
    </row>
    <row r="118" spans="1:2" ht="16.5" customHeight="1">
      <c r="A118" s="115"/>
      <c r="B118" s="1" t="s">
        <v>223</v>
      </c>
    </row>
    <row r="119" spans="1:2" ht="16.5" customHeight="1">
      <c r="A119" s="115"/>
      <c r="B119" s="1" t="s">
        <v>224</v>
      </c>
    </row>
    <row r="120" spans="1:2" ht="16.5" customHeight="1">
      <c r="A120" s="115"/>
      <c r="B120" s="1" t="s">
        <v>225</v>
      </c>
    </row>
    <row r="121" spans="1:2" ht="16.5" customHeight="1">
      <c r="A121" s="115"/>
      <c r="B121" s="1" t="s">
        <v>226</v>
      </c>
    </row>
    <row r="122" spans="1:2" ht="16.5" customHeight="1">
      <c r="A122" s="115"/>
      <c r="B122" s="1" t="s">
        <v>227</v>
      </c>
    </row>
    <row r="123" spans="1:2" ht="16.5" customHeight="1">
      <c r="A123" s="115"/>
      <c r="B123" s="1" t="s">
        <v>228</v>
      </c>
    </row>
    <row r="124" spans="1:2" ht="16.5" customHeight="1">
      <c r="A124" s="115"/>
      <c r="B124" s="1" t="s">
        <v>229</v>
      </c>
    </row>
    <row r="125" spans="1:2" ht="16.5" customHeight="1">
      <c r="A125" s="114" t="s">
        <v>230</v>
      </c>
      <c r="B125" s="1" t="s">
        <v>231</v>
      </c>
    </row>
    <row r="126" spans="1:2" ht="16.5" customHeight="1">
      <c r="A126" s="115"/>
      <c r="B126" s="1" t="s">
        <v>232</v>
      </c>
    </row>
    <row r="127" spans="1:2" ht="16.5" customHeight="1">
      <c r="A127" s="115"/>
      <c r="B127" s="1" t="s">
        <v>233</v>
      </c>
    </row>
    <row r="128" spans="1:2" ht="16.5" customHeight="1">
      <c r="A128" s="115"/>
      <c r="B128" s="1" t="s">
        <v>234</v>
      </c>
    </row>
    <row r="129" spans="1:2" ht="16.5" customHeight="1">
      <c r="A129" s="115"/>
      <c r="B129" s="1" t="s">
        <v>235</v>
      </c>
    </row>
    <row r="130" spans="1:2" ht="16.5" customHeight="1">
      <c r="A130" s="115"/>
      <c r="B130" s="1" t="s">
        <v>236</v>
      </c>
    </row>
    <row r="131" spans="1:2" ht="16.5" customHeight="1">
      <c r="A131" s="115"/>
      <c r="B131" s="1" t="s">
        <v>237</v>
      </c>
    </row>
    <row r="132" spans="1:2" ht="16.5" customHeight="1">
      <c r="A132" s="115"/>
      <c r="B132" s="1" t="s">
        <v>238</v>
      </c>
    </row>
    <row r="133" spans="1:2" ht="16.5" customHeight="1">
      <c r="A133" s="115"/>
      <c r="B133" s="1" t="s">
        <v>239</v>
      </c>
    </row>
    <row r="134" spans="1:2" ht="16.5" customHeight="1">
      <c r="A134" s="114" t="s">
        <v>240</v>
      </c>
      <c r="B134" s="1" t="s">
        <v>241</v>
      </c>
    </row>
    <row r="135" spans="1:2" ht="16.5" customHeight="1">
      <c r="A135" s="115"/>
      <c r="B135" s="1" t="s">
        <v>242</v>
      </c>
    </row>
    <row r="136" spans="1:2" ht="16.5" customHeight="1">
      <c r="A136" s="115"/>
      <c r="B136" s="1" t="s">
        <v>243</v>
      </c>
    </row>
    <row r="137" spans="1:2" ht="16.5" customHeight="1">
      <c r="A137" s="115"/>
      <c r="B137" s="1" t="s">
        <v>244</v>
      </c>
    </row>
    <row r="138" spans="1:2" ht="16.5" customHeight="1">
      <c r="A138" s="115"/>
      <c r="B138" s="1" t="s">
        <v>245</v>
      </c>
    </row>
    <row r="139" spans="1:2" ht="16.5" customHeight="1">
      <c r="A139" s="115"/>
      <c r="B139" s="1" t="s">
        <v>246</v>
      </c>
    </row>
    <row r="140" spans="1:2" ht="16.5" customHeight="1">
      <c r="A140" s="114" t="s">
        <v>247</v>
      </c>
      <c r="B140" s="1" t="s">
        <v>248</v>
      </c>
    </row>
    <row r="141" spans="1:2" ht="16.5" customHeight="1">
      <c r="A141" s="115"/>
      <c r="B141" s="1" t="s">
        <v>249</v>
      </c>
    </row>
    <row r="142" spans="1:2" ht="16.5" customHeight="1">
      <c r="A142" s="115"/>
      <c r="B142" s="1" t="s">
        <v>250</v>
      </c>
    </row>
    <row r="143" spans="1:2" ht="16.5" customHeight="1">
      <c r="A143" s="115"/>
      <c r="B143" s="1" t="s">
        <v>251</v>
      </c>
    </row>
    <row r="144" spans="1:2" ht="16.5" customHeight="1">
      <c r="A144" s="115"/>
      <c r="B144" s="1" t="s">
        <v>252</v>
      </c>
    </row>
    <row r="145" spans="1:2" ht="16.5" customHeight="1">
      <c r="A145" s="115"/>
      <c r="B145" s="1" t="s">
        <v>253</v>
      </c>
    </row>
    <row r="146" spans="1:2" ht="16.5" customHeight="1">
      <c r="A146" s="115"/>
      <c r="B146" s="1" t="s">
        <v>254</v>
      </c>
    </row>
    <row r="147" spans="1:2" ht="16.5" customHeight="1">
      <c r="A147" s="115"/>
      <c r="B147" s="1" t="s">
        <v>255</v>
      </c>
    </row>
    <row r="148" spans="1:2" ht="16.5" customHeight="1">
      <c r="A148" s="115"/>
      <c r="B148" s="1" t="s">
        <v>256</v>
      </c>
    </row>
    <row r="149" spans="1:2" ht="16.5" customHeight="1">
      <c r="A149" s="115"/>
      <c r="B149" s="1" t="s">
        <v>257</v>
      </c>
    </row>
    <row r="150" spans="1:2" ht="16.5" customHeight="1">
      <c r="A150" s="115"/>
      <c r="B150" s="1" t="s">
        <v>258</v>
      </c>
    </row>
    <row r="151" spans="1:2" ht="16.5" customHeight="1">
      <c r="A151" s="115"/>
      <c r="B151" s="1" t="s">
        <v>259</v>
      </c>
    </row>
    <row r="152" spans="1:2" ht="16.5" customHeight="1">
      <c r="A152" s="115"/>
      <c r="B152" s="1" t="s">
        <v>260</v>
      </c>
    </row>
    <row r="153" spans="1:2" ht="16.5" customHeight="1">
      <c r="A153" s="115"/>
      <c r="B153" s="1" t="s">
        <v>261</v>
      </c>
    </row>
    <row r="154" spans="1:2" ht="16.5" customHeight="1">
      <c r="A154" s="115"/>
      <c r="B154" s="1" t="s">
        <v>262</v>
      </c>
    </row>
    <row r="155" spans="1:2" ht="16.5" customHeight="1">
      <c r="A155" s="115"/>
      <c r="B155" s="1" t="s">
        <v>263</v>
      </c>
    </row>
    <row r="156" spans="1:2" ht="16.5" customHeight="1">
      <c r="A156" s="115"/>
      <c r="B156" s="1" t="s">
        <v>264</v>
      </c>
    </row>
    <row r="157" spans="1:2" ht="16.5" customHeight="1">
      <c r="A157" s="115"/>
      <c r="B157" s="1" t="s">
        <v>265</v>
      </c>
    </row>
    <row r="158" spans="1:2" ht="16.5" customHeight="1">
      <c r="A158" s="114" t="s">
        <v>266</v>
      </c>
      <c r="B158" s="1" t="s">
        <v>267</v>
      </c>
    </row>
    <row r="159" spans="1:2" ht="16.5" customHeight="1">
      <c r="A159" s="115"/>
      <c r="B159" s="1" t="s">
        <v>268</v>
      </c>
    </row>
    <row r="160" spans="1:2" ht="16.5" customHeight="1">
      <c r="A160" s="115"/>
      <c r="B160" s="1" t="s">
        <v>269</v>
      </c>
    </row>
    <row r="161" spans="1:2" ht="16.5" customHeight="1">
      <c r="A161" s="115"/>
      <c r="B161" s="1" t="s">
        <v>270</v>
      </c>
    </row>
    <row r="162" spans="1:2" ht="16.5" customHeight="1">
      <c r="A162" s="115"/>
      <c r="B162" s="1" t="s">
        <v>271</v>
      </c>
    </row>
    <row r="163" spans="1:2" ht="16.5" customHeight="1">
      <c r="A163" s="115"/>
      <c r="B163" s="1" t="s">
        <v>272</v>
      </c>
    </row>
    <row r="164" spans="1:2" ht="16.5" customHeight="1">
      <c r="A164" s="115"/>
      <c r="B164" s="1" t="s">
        <v>273</v>
      </c>
    </row>
    <row r="165" spans="1:2" ht="16.5" customHeight="1">
      <c r="A165" s="115"/>
      <c r="B165" s="1" t="s">
        <v>274</v>
      </c>
    </row>
    <row r="166" spans="1:2" ht="16.5" customHeight="1">
      <c r="A166" s="115"/>
      <c r="B166" s="1" t="s">
        <v>275</v>
      </c>
    </row>
    <row r="167" spans="1:2" ht="16.5" customHeight="1">
      <c r="A167" s="115"/>
      <c r="B167" s="1" t="s">
        <v>276</v>
      </c>
    </row>
    <row r="168" spans="1:2" ht="16.5" customHeight="1">
      <c r="A168" s="115"/>
      <c r="B168" s="1" t="s">
        <v>277</v>
      </c>
    </row>
    <row r="169" spans="1:2" ht="16.5" customHeight="1">
      <c r="A169" s="115"/>
      <c r="B169" s="1" t="s">
        <v>278</v>
      </c>
    </row>
    <row r="170" spans="1:2" ht="16.5" customHeight="1">
      <c r="A170" s="115"/>
      <c r="B170" s="1" t="s">
        <v>279</v>
      </c>
    </row>
    <row r="171" spans="1:2" ht="16.5" customHeight="1">
      <c r="A171" s="115"/>
      <c r="B171" s="1" t="s">
        <v>280</v>
      </c>
    </row>
    <row r="172" spans="1:2" ht="16.5" customHeight="1">
      <c r="A172" s="114" t="s">
        <v>281</v>
      </c>
      <c r="B172" s="1" t="s">
        <v>282</v>
      </c>
    </row>
    <row r="173" spans="1:2" ht="16.5" customHeight="1">
      <c r="A173" s="115"/>
      <c r="B173" s="1" t="s">
        <v>283</v>
      </c>
    </row>
    <row r="174" spans="1:2" ht="16.5" customHeight="1">
      <c r="A174" s="115"/>
      <c r="B174" s="1" t="s">
        <v>284</v>
      </c>
    </row>
    <row r="175" spans="1:2" ht="16.5" customHeight="1">
      <c r="A175" s="115"/>
      <c r="B175" s="1" t="s">
        <v>285</v>
      </c>
    </row>
    <row r="176" spans="1:2" ht="16.5" customHeight="1">
      <c r="A176" s="115"/>
      <c r="B176" s="1" t="s">
        <v>286</v>
      </c>
    </row>
    <row r="177" spans="1:2" ht="16.5" customHeight="1">
      <c r="A177" s="115"/>
      <c r="B177" s="1" t="s">
        <v>287</v>
      </c>
    </row>
    <row r="178" spans="1:2" ht="16.5" customHeight="1">
      <c r="A178" s="115"/>
      <c r="B178" s="1" t="s">
        <v>288</v>
      </c>
    </row>
    <row r="179" spans="1:2" ht="16.5" customHeight="1">
      <c r="A179" s="114" t="s">
        <v>289</v>
      </c>
      <c r="B179" s="1" t="s">
        <v>290</v>
      </c>
    </row>
    <row r="180" spans="1:2" ht="16.5" customHeight="1">
      <c r="A180" s="115"/>
      <c r="B180" s="1" t="s">
        <v>291</v>
      </c>
    </row>
    <row r="181" spans="1:2" ht="16.5" customHeight="1">
      <c r="A181" s="115"/>
      <c r="B181" s="1" t="s">
        <v>292</v>
      </c>
    </row>
    <row r="182" spans="1:2" ht="16.5" customHeight="1">
      <c r="A182" s="115"/>
      <c r="B182" s="1" t="s">
        <v>293</v>
      </c>
    </row>
    <row r="183" spans="1:2" ht="16.5" customHeight="1">
      <c r="A183" s="115"/>
      <c r="B183" s="1" t="s">
        <v>294</v>
      </c>
    </row>
    <row r="184" spans="1:2" ht="16.5" customHeight="1">
      <c r="A184" s="114" t="s">
        <v>295</v>
      </c>
      <c r="B184" s="1" t="s">
        <v>296</v>
      </c>
    </row>
    <row r="185" spans="1:2" ht="16.5" customHeight="1">
      <c r="A185" s="115"/>
      <c r="B185" s="1" t="s">
        <v>297</v>
      </c>
    </row>
    <row r="186" spans="1:2" ht="16.5" customHeight="1">
      <c r="A186" s="115"/>
      <c r="B186" s="1" t="s">
        <v>298</v>
      </c>
    </row>
    <row r="187" spans="1:2" ht="16.5" customHeight="1">
      <c r="A187" s="115"/>
      <c r="B187" s="1" t="s">
        <v>299</v>
      </c>
    </row>
    <row r="188" spans="1:2" ht="16.5" customHeight="1">
      <c r="A188" s="115"/>
      <c r="B188" s="1" t="s">
        <v>300</v>
      </c>
    </row>
    <row r="189" spans="1:2" ht="16.5" customHeight="1">
      <c r="A189" s="114" t="s">
        <v>86</v>
      </c>
      <c r="B189" s="1" t="s">
        <v>301</v>
      </c>
    </row>
    <row r="190" spans="1:2" ht="16.5" customHeight="1">
      <c r="A190" s="115"/>
      <c r="B190" s="1" t="s">
        <v>302</v>
      </c>
    </row>
    <row r="191" spans="1:2" ht="16.5" customHeight="1">
      <c r="A191" s="115"/>
      <c r="B191" s="1" t="s">
        <v>303</v>
      </c>
    </row>
    <row r="192" spans="1:2" ht="16.5" customHeight="1">
      <c r="A192" s="114" t="s">
        <v>82</v>
      </c>
      <c r="B192" s="1" t="s">
        <v>304</v>
      </c>
    </row>
    <row r="193" spans="1:2" ht="16.5" customHeight="1">
      <c r="A193" s="115"/>
      <c r="B193" s="1" t="s">
        <v>305</v>
      </c>
    </row>
    <row r="194" spans="1:2" ht="16.5" customHeight="1">
      <c r="A194" s="115"/>
      <c r="B194" s="1" t="s">
        <v>306</v>
      </c>
    </row>
    <row r="195" spans="1:2" ht="16.5" customHeight="1">
      <c r="A195" s="115"/>
      <c r="B195" s="1" t="s">
        <v>307</v>
      </c>
    </row>
    <row r="196" spans="1:2" ht="16.5" customHeight="1">
      <c r="A196" s="115"/>
      <c r="B196" s="1" t="s">
        <v>308</v>
      </c>
    </row>
    <row r="197" spans="1:2" ht="16.5" customHeight="1">
      <c r="A197" s="115"/>
      <c r="B197" s="1" t="s">
        <v>309</v>
      </c>
    </row>
    <row r="198" spans="1:2" ht="16.5" customHeight="1">
      <c r="A198" s="115"/>
      <c r="B198" s="1" t="s">
        <v>310</v>
      </c>
    </row>
    <row r="199" spans="1:2" ht="16.5" customHeight="1">
      <c r="A199" s="115"/>
      <c r="B199" s="1" t="s">
        <v>311</v>
      </c>
    </row>
    <row r="200" spans="1:2" ht="16.5" customHeight="1">
      <c r="A200" s="115"/>
      <c r="B200" s="1" t="s">
        <v>312</v>
      </c>
    </row>
  </sheetData>
  <mergeCells count="16">
    <mergeCell ref="A2:A24"/>
    <mergeCell ref="A25:A32"/>
    <mergeCell ref="A33:A47"/>
    <mergeCell ref="A48:A54"/>
    <mergeCell ref="A55:A66"/>
    <mergeCell ref="A67:A76"/>
    <mergeCell ref="A77:A124"/>
    <mergeCell ref="A125:A133"/>
    <mergeCell ref="A134:A139"/>
    <mergeCell ref="A140:A157"/>
    <mergeCell ref="A192:A200"/>
    <mergeCell ref="A158:A171"/>
    <mergeCell ref="A172:A178"/>
    <mergeCell ref="A179:A183"/>
    <mergeCell ref="A184:A188"/>
    <mergeCell ref="A189:A19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应用产品</vt:lpstr>
      <vt:lpstr>基础软件</vt:lpstr>
      <vt:lpstr>其他业务</vt:lpstr>
      <vt:lpstr>产品功能列表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威 苏</cp:lastModifiedBy>
  <dcterms:created xsi:type="dcterms:W3CDTF">2006-09-16T00:00:00Z</dcterms:created>
  <dcterms:modified xsi:type="dcterms:W3CDTF">2026-07-06T09:14:10Z</dcterms:modified>
</cp:coreProperties>
</file>